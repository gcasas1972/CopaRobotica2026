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 activeTab="1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T44" i="2" l="1"/>
  <c r="S44" i="2" l="1"/>
  <c r="R44" i="2" l="1"/>
  <c r="Q44" i="2" l="1"/>
  <c r="P44" i="2"/>
  <c r="O44" i="2" l="1"/>
  <c r="N44" i="2" l="1"/>
  <c r="M44" i="2" l="1"/>
  <c r="L44" i="2" l="1"/>
  <c r="J5" i="2" l="1"/>
  <c r="K5" i="2" s="1"/>
  <c r="J6" i="2"/>
  <c r="K6" i="2" s="1"/>
  <c r="J7" i="2"/>
  <c r="K7" i="2" s="1"/>
  <c r="J9" i="2"/>
  <c r="K9" i="2" s="1"/>
  <c r="J10" i="2"/>
  <c r="K10" i="2" s="1"/>
  <c r="J11" i="2"/>
  <c r="K11" i="2" s="1"/>
  <c r="J12" i="2"/>
  <c r="K12" i="2" s="1"/>
  <c r="J13" i="2"/>
  <c r="K13" i="2" s="1"/>
  <c r="J15" i="2"/>
  <c r="K15" i="2" s="1"/>
  <c r="J16" i="2"/>
  <c r="K16" i="2" s="1"/>
  <c r="J38" i="2"/>
  <c r="K38" i="2" s="1"/>
  <c r="J18" i="2"/>
  <c r="K18" i="2" s="1"/>
  <c r="J19" i="2"/>
  <c r="K19" i="2" s="1"/>
  <c r="J20" i="2"/>
  <c r="K20" i="2" s="1"/>
  <c r="J21" i="2"/>
  <c r="K21" i="2" s="1"/>
  <c r="J22" i="2"/>
  <c r="K22" i="2" s="1"/>
  <c r="J40" i="2"/>
  <c r="K40" i="2" s="1"/>
  <c r="J23" i="2"/>
  <c r="K23" i="2" s="1"/>
  <c r="J24" i="2"/>
  <c r="K24" i="2" s="1"/>
  <c r="J25" i="2"/>
  <c r="K25" i="2" s="1"/>
  <c r="J28" i="2"/>
  <c r="K28" i="2" s="1"/>
  <c r="J29" i="2"/>
  <c r="K29" i="2" s="1"/>
  <c r="J31" i="2"/>
  <c r="K31" i="2" s="1"/>
  <c r="J32" i="2"/>
  <c r="K32" i="2" s="1"/>
  <c r="J34" i="2"/>
  <c r="K34" i="2" s="1"/>
  <c r="J35" i="2"/>
  <c r="K35" i="2" s="1"/>
  <c r="J4" i="2"/>
  <c r="K4" i="2" s="1"/>
  <c r="I44" i="2"/>
  <c r="H44" i="2" l="1"/>
  <c r="F44" i="2" l="1"/>
  <c r="E44" i="2"/>
  <c r="M34" i="1"/>
</calcChain>
</file>

<file path=xl/sharedStrings.xml><?xml version="1.0" encoding="utf-8"?>
<sst xmlns="http://schemas.openxmlformats.org/spreadsheetml/2006/main" count="852" uniqueCount="222">
  <si>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</si>
  <si>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</si>
  <si>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</si>
  <si>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</si>
  <si>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</si>
  <si>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</si>
  <si>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</si>
  <si>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</si>
  <si>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</si>
  <si>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</si>
  <si>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</si>
  <si>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</si>
  <si>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</si>
  <si>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</si>
  <si>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</si>
  <si>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</si>
  <si>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</si>
  <si>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</si>
  <si>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</si>
  <si>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</si>
  <si>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</si>
  <si>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</si>
  <si>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</si>
  <si>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</si>
  <si>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</si>
  <si>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</si>
  <si>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</si>
  <si>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</si>
  <si>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</si>
  <si>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</si>
  <si>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</si>
  <si>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</si>
  <si>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</si>
  <si>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</si>
  <si>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</si>
  <si>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</si>
  <si>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</si>
  <si>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</si>
  <si>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</si>
  <si>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</si>
  <si>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</si>
  <si>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</si>
  <si>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</si>
  <si>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</si>
  <si>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</si>
  <si>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</si>
  <si>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</si>
  <si>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</si>
  <si>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</si>
  <si>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</si>
  <si>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</si>
  <si>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</si>
  <si>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</si>
  <si>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</si>
  <si>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</si>
  <si>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</si>
  <si>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</si>
  <si>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</si>
  <si>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</si>
  <si>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</si>
  <si>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</si>
  <si>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</si>
  <si>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</si>
  <si>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</si>
  <si>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</si>
  <si>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</si>
  <si>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</si>
  <si>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</si>
  <si>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</si>
  <si>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</si>
  <si>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</si>
  <si>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</si>
  <si>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</si>
  <si>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</si>
  <si>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</si>
  <si>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</si>
  <si>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</si>
  <si>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</si>
  <si>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</si>
  <si>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</si>
  <si>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</si>
  <si>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</si>
  <si>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</si>
  <si>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</si>
  <si>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</si>
  <si>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</si>
  <si>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</si>
  <si>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</si>
  <si>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</si>
  <si>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</si>
  <si>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</si>
  <si>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</si>
  <si>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</si>
  <si>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</si>
  <si>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</si>
  <si>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</si>
  <si>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</si>
  <si>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</si>
  <si>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</si>
  <si>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</si>
  <si>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</si>
  <si>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</si>
  <si>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</si>
  <si>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</si>
  <si>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</si>
  <si>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</si>
  <si>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</si>
  <si>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</si>
  <si>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</si>
  <si>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</si>
  <si>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</si>
  <si>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</si>
  <si>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</si>
  <si>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</si>
  <si>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</si>
  <si>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</si>
  <si>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</si>
  <si>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</si>
  <si>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</si>
  <si>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</si>
  <si>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</si>
  <si>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</si>
  <si>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</si>
  <si>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</si>
  <si>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</si>
  <si>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</si>
  <si>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</si>
  <si>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</si>
  <si>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</si>
  <si>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</si>
  <si>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</si>
  <si>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</si>
  <si>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</si>
  <si>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</si>
  <si>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</si>
  <si>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</si>
  <si>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</si>
  <si>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</si>
  <si>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</si>
  <si>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</si>
  <si>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</si>
  <si>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</si>
  <si>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</si>
  <si>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</si>
  <si>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</si>
  <si>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</si>
  <si>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</si>
  <si>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</si>
  <si>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</si>
  <si>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</si>
  <si>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</si>
  <si>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</si>
  <si>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</si>
  <si>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</si>
  <si>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</si>
  <si>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</si>
  <si>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</si>
  <si>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</si>
  <si>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</si>
  <si>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</si>
  <si>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</si>
  <si>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</si>
  <si>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</si>
  <si>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</si>
  <si>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</si>
  <si>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</si>
  <si>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</si>
  <si>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</si>
  <si>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</si>
  <si>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</si>
  <si>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</si>
  <si>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</si>
  <si>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</si>
  <si>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</si>
  <si>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</si>
  <si>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</si>
  <si>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</si>
  <si>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</si>
  <si>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</si>
  <si>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</si>
  <si>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</si>
  <si>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</si>
  <si>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</si>
  <si>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</si>
  <si>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</si>
  <si>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</si>
  <si>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</si>
  <si>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</si>
  <si>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</si>
  <si>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</si>
  <si>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isabella giuliana</t>
  </si>
  <si>
    <t>presente</t>
  </si>
  <si>
    <t>A</t>
  </si>
  <si>
    <t>muelte</t>
  </si>
  <si>
    <t>se retiraron antes</t>
  </si>
  <si>
    <t>prsentes</t>
  </si>
  <si>
    <t>nota</t>
  </si>
  <si>
    <t>Bustos Lisboa</t>
  </si>
  <si>
    <t>2C</t>
  </si>
  <si>
    <t>Salvador</t>
  </si>
  <si>
    <t>Barzo Marchi</t>
  </si>
  <si>
    <t>Juan</t>
  </si>
  <si>
    <t>Matorelli</t>
  </si>
  <si>
    <t xml:space="preserve">Lopez </t>
  </si>
  <si>
    <t>Joaquin Alejandro</t>
  </si>
  <si>
    <t>4A</t>
  </si>
  <si>
    <t xml:space="preserve">Conti </t>
  </si>
  <si>
    <t>Candela</t>
  </si>
  <si>
    <t xml:space="preserve">Aguirre </t>
  </si>
  <si>
    <t>Guadalupe</t>
  </si>
  <si>
    <t>Zamira</t>
  </si>
  <si>
    <t>2D</t>
  </si>
  <si>
    <t>Galiano</t>
  </si>
  <si>
    <t>Sanchez</t>
  </si>
  <si>
    <t>Lionel</t>
  </si>
  <si>
    <t>Vasiliev</t>
  </si>
  <si>
    <t>Fausto</t>
  </si>
  <si>
    <t>Ramiro</t>
  </si>
  <si>
    <t>Ibañez</t>
  </si>
  <si>
    <t>Nicole</t>
  </si>
  <si>
    <t>Oyola</t>
  </si>
  <si>
    <t>Fabrizio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</si>
</sst>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8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  <xf numFmtId="0" fontId="6" fillId="0" borderId="0" xfId="0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topLeftCell="A16" zoomScaleNormal="100" workbookViewId="0">
      <selection activeCell="D51" sqref="D51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tabSelected="1" topLeftCell="A21" zoomScale="160" zoomScaleNormal="160" workbookViewId="0">
      <selection activeCell="B36" sqref="B36:B41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4" max="4" width="11.5703125" customWidth="1"/>
    <col min="5" max="5" width="12.28515625" style="1" hidden="1" customWidth="1"/>
    <col min="6" max="6" width="11.5703125" hidden="1" customWidth="1"/>
    <col min="7" max="7" width="15.42578125" hidden="1" customWidth="1"/>
    <col min="8" max="10" width="11.5703125" hidden="1" customWidth="1"/>
    <col min="11" max="12" width="0" hidden="1" customWidth="1"/>
  </cols>
  <sheetData>
    <row r="1" spans="1:20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  <c r="H1" s="52">
        <v>46156</v>
      </c>
      <c r="I1" s="52">
        <v>46163</v>
      </c>
      <c r="J1" t="s">
        <v>195</v>
      </c>
      <c r="K1" t="s">
        <v>196</v>
      </c>
      <c r="L1" s="52">
        <v>46177</v>
      </c>
      <c r="M1" s="52">
        <v>46184</v>
      </c>
      <c r="N1" s="52">
        <v>46191</v>
      </c>
      <c r="O1" s="52">
        <v>46198</v>
      </c>
      <c r="P1" s="52">
        <v>46254</v>
      </c>
      <c r="Q1" s="52">
        <v>46268</v>
      </c>
      <c r="R1" s="52">
        <v>46275</v>
      </c>
      <c r="S1" s="52">
        <v>46282</v>
      </c>
      <c r="T1" s="52">
        <v>46289</v>
      </c>
    </row>
    <row r="2" spans="1:20" x14ac:dyDescent="0.2">
      <c r="A2" s="1">
        <v>33</v>
      </c>
      <c r="B2" s="1" t="s">
        <v>208</v>
      </c>
      <c r="C2" s="1" t="s">
        <v>209</v>
      </c>
      <c r="D2" s="1" t="s">
        <v>205</v>
      </c>
      <c r="F2" s="7"/>
      <c r="H2" s="7"/>
      <c r="I2" s="7"/>
      <c r="P2" t="s">
        <v>22</v>
      </c>
      <c r="Q2" t="s">
        <v>192</v>
      </c>
      <c r="R2" t="s">
        <v>192</v>
      </c>
      <c r="S2" t="s">
        <v>192</v>
      </c>
      <c r="T2" t="s">
        <v>192</v>
      </c>
    </row>
    <row r="3" spans="1:20" x14ac:dyDescent="0.2">
      <c r="A3" s="1">
        <v>37</v>
      </c>
      <c r="B3" s="1" t="s">
        <v>208</v>
      </c>
      <c r="C3" s="1" t="s">
        <v>217</v>
      </c>
      <c r="D3" s="1" t="s">
        <v>211</v>
      </c>
      <c r="F3" s="7"/>
      <c r="H3" s="7"/>
      <c r="I3" s="7"/>
      <c r="S3" t="s">
        <v>22</v>
      </c>
      <c r="T3" t="s">
        <v>192</v>
      </c>
    </row>
    <row r="4" spans="1:20" x14ac:dyDescent="0.2">
      <c r="A4" s="1">
        <v>1</v>
      </c>
      <c r="B4" s="1" t="s">
        <v>71</v>
      </c>
      <c r="C4" s="1" t="s">
        <v>72</v>
      </c>
      <c r="D4" s="1" t="s">
        <v>38</v>
      </c>
      <c r="E4" s="7" t="s">
        <v>22</v>
      </c>
      <c r="F4" s="7" t="s">
        <v>22</v>
      </c>
      <c r="H4" t="s">
        <v>192</v>
      </c>
      <c r="I4" t="s">
        <v>192</v>
      </c>
      <c r="J4">
        <f>COUNTIF(E4:I4,"P")</f>
        <v>2</v>
      </c>
      <c r="K4">
        <f>ROUND(J4*10/4,0)</f>
        <v>5</v>
      </c>
      <c r="L4" t="s">
        <v>192</v>
      </c>
      <c r="M4" t="s">
        <v>192</v>
      </c>
      <c r="N4" t="s">
        <v>192</v>
      </c>
      <c r="O4" t="s">
        <v>192</v>
      </c>
      <c r="P4" t="s">
        <v>192</v>
      </c>
      <c r="Q4" t="s">
        <v>192</v>
      </c>
      <c r="R4" t="s">
        <v>192</v>
      </c>
      <c r="S4" t="s">
        <v>192</v>
      </c>
      <c r="T4" t="s">
        <v>192</v>
      </c>
    </row>
    <row r="5" spans="1:20" x14ac:dyDescent="0.2">
      <c r="A5" s="1">
        <v>2</v>
      </c>
      <c r="B5" s="1" t="s">
        <v>75</v>
      </c>
      <c r="C5" s="1" t="s">
        <v>76</v>
      </c>
      <c r="D5" s="1" t="s">
        <v>78</v>
      </c>
      <c r="F5" s="1" t="s">
        <v>192</v>
      </c>
      <c r="H5" t="s">
        <v>192</v>
      </c>
      <c r="I5" t="s">
        <v>192</v>
      </c>
      <c r="J5">
        <f>COUNTIF(E5:I5,"P")</f>
        <v>0</v>
      </c>
      <c r="K5">
        <f>ROUND(J5*10/4,0)</f>
        <v>0</v>
      </c>
      <c r="L5" t="s">
        <v>192</v>
      </c>
      <c r="M5" t="s">
        <v>192</v>
      </c>
      <c r="N5" t="s">
        <v>192</v>
      </c>
      <c r="O5" t="s">
        <v>192</v>
      </c>
      <c r="P5" t="s">
        <v>192</v>
      </c>
      <c r="Q5" t="s">
        <v>192</v>
      </c>
      <c r="R5" t="s">
        <v>192</v>
      </c>
      <c r="S5" t="s">
        <v>192</v>
      </c>
      <c r="T5" t="s">
        <v>192</v>
      </c>
    </row>
    <row r="6" spans="1:20" s="54" customFormat="1" x14ac:dyDescent="0.2">
      <c r="A6" s="1">
        <v>3</v>
      </c>
      <c r="B6" s="1" t="s">
        <v>14</v>
      </c>
      <c r="C6" s="1" t="s">
        <v>15</v>
      </c>
      <c r="D6" s="1" t="s">
        <v>17</v>
      </c>
      <c r="E6" s="1"/>
      <c r="F6" s="1" t="s">
        <v>22</v>
      </c>
      <c r="G6"/>
      <c r="H6" t="s">
        <v>192</v>
      </c>
      <c r="I6" t="s">
        <v>22</v>
      </c>
      <c r="J6">
        <f>COUNTIF(E6:I6,"P")</f>
        <v>2</v>
      </c>
      <c r="K6">
        <f>ROUND(J6*10/4,0)</f>
        <v>5</v>
      </c>
      <c r="L6" t="s">
        <v>22</v>
      </c>
      <c r="M6" t="s">
        <v>22</v>
      </c>
      <c r="N6" t="s">
        <v>192</v>
      </c>
      <c r="O6" t="s">
        <v>22</v>
      </c>
      <c r="P6" t="s">
        <v>192</v>
      </c>
      <c r="Q6" t="s">
        <v>22</v>
      </c>
      <c r="R6" t="s">
        <v>22</v>
      </c>
      <c r="S6" t="s">
        <v>22</v>
      </c>
      <c r="T6" t="s">
        <v>192</v>
      </c>
    </row>
    <row r="7" spans="1:20" x14ac:dyDescent="0.2">
      <c r="A7" s="1">
        <v>4</v>
      </c>
      <c r="B7" s="1" t="s">
        <v>79</v>
      </c>
      <c r="C7" s="1" t="s">
        <v>80</v>
      </c>
      <c r="D7" s="1" t="s">
        <v>38</v>
      </c>
      <c r="E7" s="7" t="s">
        <v>22</v>
      </c>
      <c r="F7" s="7" t="s">
        <v>22</v>
      </c>
      <c r="H7" t="s">
        <v>192</v>
      </c>
      <c r="I7" t="s">
        <v>192</v>
      </c>
      <c r="J7">
        <f>COUNTIF(E7:I7,"P")</f>
        <v>2</v>
      </c>
      <c r="K7">
        <f>ROUND(J7*10/4,0)</f>
        <v>5</v>
      </c>
      <c r="L7" t="s">
        <v>192</v>
      </c>
      <c r="M7" t="s">
        <v>192</v>
      </c>
      <c r="N7" t="s">
        <v>192</v>
      </c>
      <c r="O7" t="s">
        <v>192</v>
      </c>
      <c r="P7" t="s">
        <v>192</v>
      </c>
      <c r="Q7" t="s">
        <v>192</v>
      </c>
      <c r="R7" t="s">
        <v>192</v>
      </c>
      <c r="S7" t="s">
        <v>192</v>
      </c>
      <c r="T7" t="s">
        <v>192</v>
      </c>
    </row>
    <row r="8" spans="1:20" x14ac:dyDescent="0.2">
      <c r="A8" s="1">
        <v>30</v>
      </c>
      <c r="B8" s="1" t="s">
        <v>200</v>
      </c>
      <c r="C8" s="1" t="s">
        <v>201</v>
      </c>
      <c r="D8" s="1" t="s">
        <v>198</v>
      </c>
      <c r="F8" s="7"/>
      <c r="H8" s="7"/>
      <c r="I8" s="7"/>
      <c r="L8" t="s">
        <v>22</v>
      </c>
      <c r="M8" t="s">
        <v>22</v>
      </c>
      <c r="N8" t="s">
        <v>22</v>
      </c>
      <c r="O8" t="s">
        <v>22</v>
      </c>
      <c r="P8" t="s">
        <v>192</v>
      </c>
      <c r="Q8" t="s">
        <v>22</v>
      </c>
      <c r="R8" t="s">
        <v>22</v>
      </c>
      <c r="S8" t="s">
        <v>192</v>
      </c>
      <c r="T8" t="s">
        <v>192</v>
      </c>
    </row>
    <row r="9" spans="1:20" x14ac:dyDescent="0.2">
      <c r="A9" s="53">
        <v>5</v>
      </c>
      <c r="B9" s="53" t="s">
        <v>184</v>
      </c>
      <c r="C9" s="53" t="s">
        <v>185</v>
      </c>
      <c r="D9" s="53" t="s">
        <v>17</v>
      </c>
      <c r="E9" s="53"/>
      <c r="F9" s="53" t="s">
        <v>192</v>
      </c>
      <c r="G9" s="54" t="s">
        <v>193</v>
      </c>
      <c r="H9" s="54"/>
      <c r="I9" s="54"/>
      <c r="J9">
        <f>COUNTIF(E9:I9,"P")</f>
        <v>0</v>
      </c>
      <c r="K9">
        <f>ROUND(J9*10/4,0)</f>
        <v>0</v>
      </c>
      <c r="L9" t="s">
        <v>192</v>
      </c>
      <c r="M9" t="s">
        <v>192</v>
      </c>
      <c r="N9" t="s">
        <v>192</v>
      </c>
      <c r="O9" t="s">
        <v>192</v>
      </c>
      <c r="P9" t="s">
        <v>192</v>
      </c>
      <c r="Q9" t="s">
        <v>192</v>
      </c>
      <c r="R9" t="s">
        <v>192</v>
      </c>
      <c r="S9" t="s">
        <v>192</v>
      </c>
      <c r="T9" t="s">
        <v>192</v>
      </c>
    </row>
    <row r="10" spans="1:20" x14ac:dyDescent="0.2">
      <c r="A10" s="1">
        <v>6</v>
      </c>
      <c r="B10" s="1" t="s">
        <v>84</v>
      </c>
      <c r="C10" s="1" t="s">
        <v>85</v>
      </c>
      <c r="D10" s="1" t="s">
        <v>78</v>
      </c>
      <c r="F10" s="7" t="s">
        <v>192</v>
      </c>
      <c r="H10" t="s">
        <v>192</v>
      </c>
      <c r="I10" t="s">
        <v>192</v>
      </c>
      <c r="J10">
        <f>COUNTIF(E10:I10,"P")</f>
        <v>0</v>
      </c>
      <c r="K10">
        <f>ROUND(J10*10/4,0)</f>
        <v>0</v>
      </c>
      <c r="L10" t="s">
        <v>192</v>
      </c>
      <c r="M10" s="54" t="s">
        <v>192</v>
      </c>
      <c r="N10" t="s">
        <v>192</v>
      </c>
      <c r="O10" t="s">
        <v>192</v>
      </c>
      <c r="P10" t="s">
        <v>192</v>
      </c>
      <c r="Q10" t="s">
        <v>192</v>
      </c>
      <c r="R10" t="s">
        <v>192</v>
      </c>
      <c r="S10" t="s">
        <v>192</v>
      </c>
      <c r="T10" t="s">
        <v>192</v>
      </c>
    </row>
    <row r="11" spans="1:20" x14ac:dyDescent="0.2">
      <c r="A11" s="1">
        <v>7</v>
      </c>
      <c r="B11" s="1" t="s">
        <v>87</v>
      </c>
      <c r="C11" s="1" t="s">
        <v>88</v>
      </c>
      <c r="D11" s="1" t="s">
        <v>53</v>
      </c>
      <c r="E11" s="7" t="s">
        <v>22</v>
      </c>
      <c r="F11" s="7" t="s">
        <v>22</v>
      </c>
      <c r="H11" t="s">
        <v>22</v>
      </c>
      <c r="I11" t="s">
        <v>192</v>
      </c>
      <c r="J11">
        <f>COUNTIF(E11:I11,"P")</f>
        <v>3</v>
      </c>
      <c r="K11">
        <f>ROUND(J11*10/4,0)</f>
        <v>8</v>
      </c>
      <c r="L11" t="s">
        <v>192</v>
      </c>
      <c r="M11" t="s">
        <v>192</v>
      </c>
      <c r="N11" t="s">
        <v>192</v>
      </c>
      <c r="O11" t="s">
        <v>192</v>
      </c>
      <c r="P11" t="s">
        <v>192</v>
      </c>
      <c r="Q11" t="s">
        <v>192</v>
      </c>
      <c r="R11" t="s">
        <v>192</v>
      </c>
      <c r="S11" t="s">
        <v>192</v>
      </c>
      <c r="T11" t="s">
        <v>192</v>
      </c>
    </row>
    <row r="12" spans="1:20" x14ac:dyDescent="0.2">
      <c r="A12" s="1">
        <v>8</v>
      </c>
      <c r="B12" s="1" t="s">
        <v>90</v>
      </c>
      <c r="C12" s="1" t="s">
        <v>91</v>
      </c>
      <c r="D12" s="1" t="s">
        <v>53</v>
      </c>
      <c r="F12" s="7" t="s">
        <v>192</v>
      </c>
      <c r="H12" t="s">
        <v>192</v>
      </c>
      <c r="I12" t="s">
        <v>192</v>
      </c>
      <c r="J12">
        <f>COUNTIF(E12:I12,"P")</f>
        <v>0</v>
      </c>
      <c r="K12">
        <f>ROUND(J12*10/4,0)</f>
        <v>0</v>
      </c>
      <c r="L12" t="s">
        <v>192</v>
      </c>
      <c r="M12" t="s">
        <v>192</v>
      </c>
      <c r="N12" t="s">
        <v>192</v>
      </c>
      <c r="O12" t="s">
        <v>192</v>
      </c>
      <c r="P12" t="s">
        <v>192</v>
      </c>
      <c r="Q12" t="s">
        <v>192</v>
      </c>
      <c r="R12" t="s">
        <v>192</v>
      </c>
      <c r="S12" t="s">
        <v>192</v>
      </c>
      <c r="T12" t="s">
        <v>192</v>
      </c>
    </row>
    <row r="13" spans="1:20" x14ac:dyDescent="0.2">
      <c r="A13" s="1">
        <v>9</v>
      </c>
      <c r="B13" s="1" t="s">
        <v>186</v>
      </c>
      <c r="C13" s="1" t="s">
        <v>24</v>
      </c>
      <c r="D13" s="1" t="s">
        <v>17</v>
      </c>
      <c r="E13" s="7" t="s">
        <v>22</v>
      </c>
      <c r="F13" s="7" t="s">
        <v>22</v>
      </c>
      <c r="H13" t="s">
        <v>22</v>
      </c>
      <c r="I13" t="s">
        <v>22</v>
      </c>
      <c r="J13">
        <f>COUNTIF(E13:I13,"P")</f>
        <v>4</v>
      </c>
      <c r="K13">
        <f>ROUND(J13*10/4,0)</f>
        <v>10</v>
      </c>
      <c r="L13" t="s">
        <v>22</v>
      </c>
      <c r="M13" t="s">
        <v>22</v>
      </c>
      <c r="N13" t="s">
        <v>22</v>
      </c>
      <c r="O13" t="s">
        <v>22</v>
      </c>
      <c r="P13" t="s">
        <v>192</v>
      </c>
      <c r="Q13" t="s">
        <v>22</v>
      </c>
      <c r="R13" t="s">
        <v>22</v>
      </c>
      <c r="S13" t="s">
        <v>22</v>
      </c>
      <c r="T13" t="s">
        <v>192</v>
      </c>
    </row>
    <row r="14" spans="1:20" x14ac:dyDescent="0.2">
      <c r="A14" s="1">
        <v>32</v>
      </c>
      <c r="B14" s="1" t="s">
        <v>206</v>
      </c>
      <c r="C14" s="1" t="s">
        <v>207</v>
      </c>
      <c r="D14" s="1" t="s">
        <v>205</v>
      </c>
      <c r="F14" s="7"/>
      <c r="H14" s="7"/>
      <c r="I14" s="7"/>
      <c r="P14" t="s">
        <v>22</v>
      </c>
      <c r="Q14" t="s">
        <v>192</v>
      </c>
      <c r="R14" t="s">
        <v>22</v>
      </c>
      <c r="S14" t="s">
        <v>192</v>
      </c>
      <c r="T14" t="s">
        <v>192</v>
      </c>
    </row>
    <row r="15" spans="1:20" x14ac:dyDescent="0.2">
      <c r="A15" s="1">
        <v>10</v>
      </c>
      <c r="B15" s="1" t="s">
        <v>187</v>
      </c>
      <c r="C15" s="1" t="s">
        <v>188</v>
      </c>
      <c r="D15" s="1" t="s">
        <v>17</v>
      </c>
      <c r="F15" s="7" t="s">
        <v>22</v>
      </c>
      <c r="G15" s="7" t="s">
        <v>194</v>
      </c>
      <c r="H15" s="7" t="s">
        <v>22</v>
      </c>
      <c r="I15" s="7" t="s">
        <v>22</v>
      </c>
      <c r="J15">
        <f>COUNTIF(E15:I15,"P")</f>
        <v>3</v>
      </c>
      <c r="K15">
        <f>ROUND(J15*10/4,0)</f>
        <v>8</v>
      </c>
      <c r="L15" t="s">
        <v>192</v>
      </c>
      <c r="M15" t="s">
        <v>192</v>
      </c>
      <c r="N15" t="s">
        <v>22</v>
      </c>
      <c r="O15" t="s">
        <v>192</v>
      </c>
      <c r="P15" t="s">
        <v>192</v>
      </c>
      <c r="Q15" t="s">
        <v>192</v>
      </c>
      <c r="R15" t="s">
        <v>192</v>
      </c>
      <c r="S15" t="s">
        <v>192</v>
      </c>
      <c r="T15" t="s">
        <v>192</v>
      </c>
    </row>
    <row r="16" spans="1:20" x14ac:dyDescent="0.2">
      <c r="A16" s="1">
        <v>11</v>
      </c>
      <c r="B16" s="1" t="s">
        <v>98</v>
      </c>
      <c r="C16" s="1" t="s">
        <v>99</v>
      </c>
      <c r="D16" s="1" t="s">
        <v>38</v>
      </c>
      <c r="F16" s="7" t="s">
        <v>192</v>
      </c>
      <c r="G16" s="56"/>
      <c r="H16" s="7" t="s">
        <v>22</v>
      </c>
      <c r="I16" s="7" t="s">
        <v>192</v>
      </c>
      <c r="J16">
        <f>COUNTIF(E16:I16,"P")</f>
        <v>1</v>
      </c>
      <c r="K16">
        <f>ROUND(J16*10/4,0)</f>
        <v>3</v>
      </c>
      <c r="L16" t="s">
        <v>192</v>
      </c>
      <c r="M16" t="s">
        <v>192</v>
      </c>
      <c r="N16" t="s">
        <v>192</v>
      </c>
      <c r="O16" t="s">
        <v>192</v>
      </c>
      <c r="P16" t="s">
        <v>192</v>
      </c>
      <c r="Q16" t="s">
        <v>192</v>
      </c>
      <c r="R16" t="s">
        <v>192</v>
      </c>
      <c r="S16" t="s">
        <v>192</v>
      </c>
      <c r="T16" t="s">
        <v>192</v>
      </c>
    </row>
    <row r="17" spans="1:20" x14ac:dyDescent="0.2">
      <c r="A17" s="1">
        <v>38</v>
      </c>
      <c r="B17" s="1" t="s">
        <v>218</v>
      </c>
      <c r="C17" s="1" t="s">
        <v>219</v>
      </c>
      <c r="D17" s="1" t="s">
        <v>211</v>
      </c>
      <c r="F17" s="7"/>
      <c r="H17" s="7"/>
      <c r="I17" s="7"/>
      <c r="S17" t="s">
        <v>22</v>
      </c>
      <c r="T17" t="s">
        <v>192</v>
      </c>
    </row>
    <row r="18" spans="1:20" x14ac:dyDescent="0.2">
      <c r="A18" s="1">
        <v>13</v>
      </c>
      <c r="B18" s="1" t="s">
        <v>34</v>
      </c>
      <c r="C18" s="1" t="s">
        <v>35</v>
      </c>
      <c r="D18" s="1" t="s">
        <v>38</v>
      </c>
      <c r="F18" s="7" t="s">
        <v>192</v>
      </c>
      <c r="H18" s="7" t="s">
        <v>192</v>
      </c>
      <c r="I18" s="7" t="s">
        <v>192</v>
      </c>
      <c r="J18">
        <f>COUNTIF(E18:I18,"P")</f>
        <v>0</v>
      </c>
      <c r="K18">
        <f>ROUND(J18*10/4,0)</f>
        <v>0</v>
      </c>
      <c r="L18" t="s">
        <v>192</v>
      </c>
      <c r="M18" t="s">
        <v>192</v>
      </c>
      <c r="N18" t="s">
        <v>192</v>
      </c>
      <c r="O18" t="s">
        <v>192</v>
      </c>
      <c r="P18" t="s">
        <v>192</v>
      </c>
      <c r="Q18" t="s">
        <v>192</v>
      </c>
      <c r="R18" t="s">
        <v>192</v>
      </c>
      <c r="S18" t="s">
        <v>192</v>
      </c>
      <c r="T18" t="s">
        <v>192</v>
      </c>
    </row>
    <row r="19" spans="1:20" x14ac:dyDescent="0.2">
      <c r="A19" s="1">
        <v>14</v>
      </c>
      <c r="B19" s="1" t="s">
        <v>107</v>
      </c>
      <c r="C19" s="1" t="s">
        <v>108</v>
      </c>
      <c r="D19" s="1" t="s">
        <v>17</v>
      </c>
      <c r="F19" s="7" t="s">
        <v>192</v>
      </c>
      <c r="H19" s="7" t="s">
        <v>192</v>
      </c>
      <c r="I19" s="7" t="s">
        <v>192</v>
      </c>
      <c r="J19">
        <f>COUNTIF(E19:I19,"P")</f>
        <v>0</v>
      </c>
      <c r="K19">
        <f>ROUND(J19*10/4,0)</f>
        <v>0</v>
      </c>
      <c r="L19" t="s">
        <v>192</v>
      </c>
      <c r="M19" t="s">
        <v>192</v>
      </c>
      <c r="N19" t="s">
        <v>192</v>
      </c>
      <c r="O19" t="s">
        <v>192</v>
      </c>
      <c r="P19" t="s">
        <v>192</v>
      </c>
      <c r="Q19" t="s">
        <v>192</v>
      </c>
      <c r="R19" t="s">
        <v>192</v>
      </c>
      <c r="S19" t="s">
        <v>192</v>
      </c>
      <c r="T19" t="s">
        <v>192</v>
      </c>
    </row>
    <row r="20" spans="1:20" x14ac:dyDescent="0.2">
      <c r="A20" s="1">
        <v>15</v>
      </c>
      <c r="B20" s="1" t="s">
        <v>111</v>
      </c>
      <c r="C20" s="1" t="s">
        <v>57</v>
      </c>
      <c r="D20" s="1" t="s">
        <v>17</v>
      </c>
      <c r="E20" s="7" t="s">
        <v>22</v>
      </c>
      <c r="F20" s="7" t="s">
        <v>22</v>
      </c>
      <c r="G20" s="7" t="s">
        <v>194</v>
      </c>
      <c r="H20" s="7" t="s">
        <v>22</v>
      </c>
      <c r="I20" s="7" t="s">
        <v>22</v>
      </c>
      <c r="J20">
        <f>COUNTIF(E20:I20,"P")</f>
        <v>4</v>
      </c>
      <c r="K20">
        <f>ROUND(J20*10/4,0)</f>
        <v>10</v>
      </c>
      <c r="L20" t="s">
        <v>22</v>
      </c>
      <c r="M20" t="s">
        <v>22</v>
      </c>
      <c r="N20" t="s">
        <v>192</v>
      </c>
      <c r="O20" t="s">
        <v>192</v>
      </c>
      <c r="P20" t="s">
        <v>192</v>
      </c>
      <c r="Q20" t="s">
        <v>192</v>
      </c>
      <c r="R20" t="s">
        <v>192</v>
      </c>
      <c r="S20" t="s">
        <v>192</v>
      </c>
      <c r="T20" t="s">
        <v>192</v>
      </c>
    </row>
    <row r="21" spans="1:20" x14ac:dyDescent="0.2">
      <c r="A21" s="1">
        <v>16</v>
      </c>
      <c r="B21" s="1" t="s">
        <v>113</v>
      </c>
      <c r="C21" s="1" t="s">
        <v>114</v>
      </c>
      <c r="D21" s="57" t="s">
        <v>38</v>
      </c>
      <c r="E21" s="57" t="s">
        <v>22</v>
      </c>
      <c r="F21" s="7" t="s">
        <v>192</v>
      </c>
      <c r="H21" s="7" t="s">
        <v>192</v>
      </c>
      <c r="I21" s="7" t="s">
        <v>192</v>
      </c>
      <c r="J21">
        <f>COUNTIF(E21:I21,"P")</f>
        <v>1</v>
      </c>
      <c r="K21">
        <f>ROUND(J21*10/4,0)</f>
        <v>3</v>
      </c>
      <c r="L21" t="s">
        <v>192</v>
      </c>
      <c r="M21" t="s">
        <v>192</v>
      </c>
      <c r="N21" t="s">
        <v>192</v>
      </c>
      <c r="O21" t="s">
        <v>192</v>
      </c>
      <c r="P21" t="s">
        <v>192</v>
      </c>
      <c r="Q21" t="s">
        <v>192</v>
      </c>
      <c r="R21" t="s">
        <v>192</v>
      </c>
      <c r="S21" t="s">
        <v>192</v>
      </c>
      <c r="T21" t="s">
        <v>192</v>
      </c>
    </row>
    <row r="22" spans="1:20" x14ac:dyDescent="0.2">
      <c r="A22" s="1">
        <v>17</v>
      </c>
      <c r="B22" s="1" t="s">
        <v>40</v>
      </c>
      <c r="C22" s="1" t="s">
        <v>41</v>
      </c>
      <c r="D22" s="57" t="s">
        <v>38</v>
      </c>
      <c r="E22" s="57" t="s">
        <v>22</v>
      </c>
      <c r="F22" s="7" t="s">
        <v>192</v>
      </c>
      <c r="H22" s="7" t="s">
        <v>192</v>
      </c>
      <c r="I22" s="7" t="s">
        <v>192</v>
      </c>
      <c r="J22">
        <f>COUNTIF(E22:I22,"P")</f>
        <v>1</v>
      </c>
      <c r="K22">
        <f>ROUND(J22*10/4,0)</f>
        <v>3</v>
      </c>
      <c r="L22" t="s">
        <v>192</v>
      </c>
      <c r="M22" t="s">
        <v>192</v>
      </c>
      <c r="N22" t="s">
        <v>192</v>
      </c>
      <c r="O22" t="s">
        <v>192</v>
      </c>
      <c r="P22" t="s">
        <v>192</v>
      </c>
      <c r="Q22" t="s">
        <v>192</v>
      </c>
      <c r="R22" t="s">
        <v>192</v>
      </c>
      <c r="S22" t="s">
        <v>192</v>
      </c>
      <c r="T22" t="s">
        <v>192</v>
      </c>
    </row>
    <row r="23" spans="1:20" x14ac:dyDescent="0.2">
      <c r="A23" s="1">
        <v>19</v>
      </c>
      <c r="B23" s="1" t="s">
        <v>49</v>
      </c>
      <c r="C23" s="1" t="s">
        <v>50</v>
      </c>
      <c r="D23" s="1" t="s">
        <v>53</v>
      </c>
      <c r="F23" s="7" t="s">
        <v>192</v>
      </c>
      <c r="H23" s="7" t="s">
        <v>192</v>
      </c>
      <c r="I23" s="7" t="s">
        <v>192</v>
      </c>
      <c r="J23">
        <f>COUNTIF(E23:I23,"P")</f>
        <v>0</v>
      </c>
      <c r="K23">
        <f>ROUND(J23*10/4,0)</f>
        <v>0</v>
      </c>
      <c r="L23" t="s">
        <v>192</v>
      </c>
      <c r="M23" t="s">
        <v>192</v>
      </c>
      <c r="N23" t="s">
        <v>192</v>
      </c>
      <c r="O23" t="s">
        <v>192</v>
      </c>
      <c r="P23" t="s">
        <v>192</v>
      </c>
      <c r="Q23" t="s">
        <v>192</v>
      </c>
      <c r="R23" t="s">
        <v>192</v>
      </c>
      <c r="S23" t="s">
        <v>192</v>
      </c>
      <c r="T23" t="s">
        <v>192</v>
      </c>
    </row>
    <row r="24" spans="1:20" x14ac:dyDescent="0.2">
      <c r="A24" s="1">
        <v>20</v>
      </c>
      <c r="B24" s="1" t="s">
        <v>117</v>
      </c>
      <c r="C24" s="1" t="s">
        <v>118</v>
      </c>
      <c r="D24" s="1" t="s">
        <v>38</v>
      </c>
      <c r="E24" s="7" t="s">
        <v>22</v>
      </c>
      <c r="F24" s="7" t="s">
        <v>192</v>
      </c>
      <c r="H24" s="7" t="s">
        <v>192</v>
      </c>
      <c r="I24" s="7" t="s">
        <v>192</v>
      </c>
      <c r="J24">
        <f>COUNTIF(E24:I24,"P")</f>
        <v>1</v>
      </c>
      <c r="K24">
        <f>ROUND(J24*10/4,0)</f>
        <v>3</v>
      </c>
      <c r="L24" t="s">
        <v>192</v>
      </c>
      <c r="M24" t="s">
        <v>192</v>
      </c>
      <c r="N24" t="s">
        <v>192</v>
      </c>
      <c r="O24" t="s">
        <v>192</v>
      </c>
      <c r="P24" t="s">
        <v>192</v>
      </c>
      <c r="Q24" t="s">
        <v>192</v>
      </c>
      <c r="R24" t="s">
        <v>192</v>
      </c>
      <c r="S24" t="s">
        <v>192</v>
      </c>
      <c r="T24" t="s">
        <v>192</v>
      </c>
    </row>
    <row r="25" spans="1:20" x14ac:dyDescent="0.2">
      <c r="A25" s="1">
        <v>21</v>
      </c>
      <c r="B25" s="1" t="s">
        <v>189</v>
      </c>
      <c r="C25" s="1" t="s">
        <v>221</v>
      </c>
      <c r="D25" s="1" t="s">
        <v>38</v>
      </c>
      <c r="F25" s="7" t="s">
        <v>192</v>
      </c>
      <c r="H25" s="7" t="s">
        <v>192</v>
      </c>
      <c r="I25" s="7" t="s">
        <v>192</v>
      </c>
      <c r="J25">
        <f>COUNTIF(E25:I25,"P")</f>
        <v>0</v>
      </c>
      <c r="K25">
        <f>ROUND(J25*10/4,0)</f>
        <v>0</v>
      </c>
      <c r="L25" t="s">
        <v>192</v>
      </c>
      <c r="M25" t="s">
        <v>192</v>
      </c>
      <c r="N25" t="s">
        <v>192</v>
      </c>
      <c r="O25" t="s">
        <v>192</v>
      </c>
      <c r="P25" t="s">
        <v>192</v>
      </c>
      <c r="Q25" t="s">
        <v>192</v>
      </c>
      <c r="R25" t="s">
        <v>192</v>
      </c>
      <c r="S25" t="s">
        <v>192</v>
      </c>
      <c r="T25" t="s">
        <v>192</v>
      </c>
    </row>
    <row r="26" spans="1:20" x14ac:dyDescent="0.2">
      <c r="A26" s="1">
        <v>31</v>
      </c>
      <c r="B26" s="1" t="s">
        <v>202</v>
      </c>
      <c r="C26" s="1" t="s">
        <v>80</v>
      </c>
      <c r="D26" s="1" t="s">
        <v>78</v>
      </c>
      <c r="F26" s="7"/>
      <c r="H26" s="7"/>
      <c r="I26" s="7"/>
      <c r="N26" t="s">
        <v>22</v>
      </c>
      <c r="O26" t="s">
        <v>22</v>
      </c>
      <c r="P26" t="s">
        <v>192</v>
      </c>
      <c r="Q26" t="s">
        <v>192</v>
      </c>
      <c r="R26" t="s">
        <v>192</v>
      </c>
      <c r="S26" t="s">
        <v>192</v>
      </c>
      <c r="T26" t="s">
        <v>192</v>
      </c>
    </row>
    <row r="27" spans="1:20" x14ac:dyDescent="0.2">
      <c r="A27" s="1">
        <v>39</v>
      </c>
      <c r="B27" s="1" t="s">
        <v>220</v>
      </c>
      <c r="C27" s="1" t="s">
        <v>85</v>
      </c>
      <c r="D27" s="1" t="s">
        <v>211</v>
      </c>
      <c r="F27" s="7"/>
      <c r="H27" s="7"/>
      <c r="I27" s="7"/>
      <c r="S27" t="s">
        <v>22</v>
      </c>
      <c r="T27" t="s">
        <v>192</v>
      </c>
    </row>
    <row r="28" spans="1:20" x14ac:dyDescent="0.2">
      <c r="A28" s="1">
        <v>22</v>
      </c>
      <c r="B28" s="1" t="s">
        <v>56</v>
      </c>
      <c r="C28" s="1" t="s">
        <v>57</v>
      </c>
      <c r="D28" s="1" t="s">
        <v>38</v>
      </c>
      <c r="E28" s="7" t="s">
        <v>22</v>
      </c>
      <c r="F28" s="7" t="s">
        <v>192</v>
      </c>
      <c r="H28" s="7" t="s">
        <v>192</v>
      </c>
      <c r="I28" s="7" t="s">
        <v>192</v>
      </c>
      <c r="J28">
        <f>COUNTIF(E28:I28,"P")</f>
        <v>1</v>
      </c>
      <c r="K28">
        <f>ROUND(J28*10/4,0)</f>
        <v>3</v>
      </c>
      <c r="L28" t="s">
        <v>192</v>
      </c>
      <c r="M28" t="s">
        <v>192</v>
      </c>
      <c r="N28" t="s">
        <v>192</v>
      </c>
      <c r="O28" t="s">
        <v>192</v>
      </c>
      <c r="P28" t="s">
        <v>192</v>
      </c>
      <c r="Q28" t="s">
        <v>192</v>
      </c>
      <c r="R28" t="s">
        <v>192</v>
      </c>
      <c r="S28" t="s">
        <v>192</v>
      </c>
      <c r="T28" t="s">
        <v>192</v>
      </c>
    </row>
    <row r="29" spans="1:20" x14ac:dyDescent="0.2">
      <c r="A29" s="1">
        <v>23</v>
      </c>
      <c r="B29" s="1" t="s">
        <v>129</v>
      </c>
      <c r="C29" s="1" t="s">
        <v>130</v>
      </c>
      <c r="D29" s="1" t="s">
        <v>53</v>
      </c>
      <c r="F29" s="7" t="s">
        <v>192</v>
      </c>
      <c r="H29" s="7" t="s">
        <v>192</v>
      </c>
      <c r="I29" s="7" t="s">
        <v>192</v>
      </c>
      <c r="J29">
        <f>COUNTIF(E29:I29,"P")</f>
        <v>0</v>
      </c>
      <c r="K29">
        <f>ROUND(J29*10/4,0)</f>
        <v>0</v>
      </c>
      <c r="L29" t="s">
        <v>192</v>
      </c>
      <c r="M29" t="s">
        <v>192</v>
      </c>
      <c r="N29" t="s">
        <v>192</v>
      </c>
      <c r="O29" t="s">
        <v>192</v>
      </c>
      <c r="P29" t="s">
        <v>192</v>
      </c>
      <c r="Q29" t="s">
        <v>192</v>
      </c>
      <c r="R29" t="s">
        <v>192</v>
      </c>
      <c r="S29" t="s">
        <v>192</v>
      </c>
      <c r="T29" t="s">
        <v>192</v>
      </c>
    </row>
    <row r="30" spans="1:20" x14ac:dyDescent="0.2">
      <c r="A30" s="1">
        <v>35</v>
      </c>
      <c r="B30" s="1" t="s">
        <v>213</v>
      </c>
      <c r="C30" s="1" t="s">
        <v>214</v>
      </c>
      <c r="D30" s="1" t="s">
        <v>211</v>
      </c>
      <c r="F30" s="7"/>
      <c r="H30" s="7"/>
      <c r="I30" s="7"/>
      <c r="Q30" t="s">
        <v>22</v>
      </c>
      <c r="R30" t="s">
        <v>192</v>
      </c>
      <c r="S30" t="s">
        <v>192</v>
      </c>
      <c r="T30" t="s">
        <v>192</v>
      </c>
    </row>
    <row r="31" spans="1:20" x14ac:dyDescent="0.2">
      <c r="A31" s="1">
        <v>24</v>
      </c>
      <c r="B31" s="1" t="s">
        <v>132</v>
      </c>
      <c r="C31" s="1" t="s">
        <v>190</v>
      </c>
      <c r="D31" s="1" t="s">
        <v>17</v>
      </c>
      <c r="F31" s="7" t="s">
        <v>22</v>
      </c>
      <c r="H31" s="7" t="s">
        <v>22</v>
      </c>
      <c r="I31" s="7" t="s">
        <v>192</v>
      </c>
      <c r="J31">
        <f>COUNTIF(E31:I31,"P")</f>
        <v>2</v>
      </c>
      <c r="K31">
        <f>ROUND(J31*10/4,0)</f>
        <v>5</v>
      </c>
      <c r="L31" t="s">
        <v>192</v>
      </c>
      <c r="M31" t="s">
        <v>192</v>
      </c>
      <c r="N31" t="s">
        <v>192</v>
      </c>
      <c r="O31" t="s">
        <v>192</v>
      </c>
      <c r="P31" t="s">
        <v>192</v>
      </c>
      <c r="Q31" t="s">
        <v>192</v>
      </c>
      <c r="R31" t="s">
        <v>192</v>
      </c>
      <c r="S31" t="s">
        <v>192</v>
      </c>
      <c r="T31" t="s">
        <v>192</v>
      </c>
    </row>
    <row r="32" spans="1:20" x14ac:dyDescent="0.2">
      <c r="A32" s="1">
        <v>25</v>
      </c>
      <c r="B32" s="1" t="s">
        <v>64</v>
      </c>
      <c r="C32" s="1" t="s">
        <v>69</v>
      </c>
      <c r="D32" s="1" t="s">
        <v>53</v>
      </c>
      <c r="F32" s="7" t="s">
        <v>192</v>
      </c>
      <c r="H32" s="7" t="s">
        <v>22</v>
      </c>
      <c r="I32" s="7" t="s">
        <v>192</v>
      </c>
      <c r="J32">
        <f>COUNTIF(E32:I32,"P")</f>
        <v>1</v>
      </c>
      <c r="K32">
        <f>ROUND(J32*10/4,0)</f>
        <v>3</v>
      </c>
      <c r="L32" t="s">
        <v>192</v>
      </c>
      <c r="M32" t="s">
        <v>192</v>
      </c>
      <c r="N32" t="s">
        <v>192</v>
      </c>
      <c r="O32" t="s">
        <v>192</v>
      </c>
      <c r="P32" t="s">
        <v>192</v>
      </c>
      <c r="Q32" t="s">
        <v>192</v>
      </c>
      <c r="R32" t="s">
        <v>192</v>
      </c>
      <c r="S32" t="s">
        <v>192</v>
      </c>
      <c r="T32" t="s">
        <v>192</v>
      </c>
    </row>
    <row r="33" spans="1:20" x14ac:dyDescent="0.2">
      <c r="A33" s="1">
        <v>36</v>
      </c>
      <c r="B33" s="1" t="s">
        <v>215</v>
      </c>
      <c r="C33" s="1" t="s">
        <v>216</v>
      </c>
      <c r="D33" s="1" t="s">
        <v>211</v>
      </c>
      <c r="F33" s="7"/>
      <c r="H33" s="7"/>
      <c r="I33" s="7"/>
      <c r="Q33" t="s">
        <v>22</v>
      </c>
      <c r="R33" t="s">
        <v>22</v>
      </c>
      <c r="S33" t="s">
        <v>192</v>
      </c>
      <c r="T33" t="s">
        <v>192</v>
      </c>
    </row>
    <row r="34" spans="1:20" x14ac:dyDescent="0.2">
      <c r="A34" s="1">
        <v>26</v>
      </c>
      <c r="B34" s="1" t="s">
        <v>136</v>
      </c>
      <c r="C34" s="1" t="s">
        <v>137</v>
      </c>
      <c r="D34" s="1" t="s">
        <v>38</v>
      </c>
      <c r="F34" s="7" t="s">
        <v>192</v>
      </c>
      <c r="H34" s="7" t="s">
        <v>192</v>
      </c>
      <c r="I34" s="7" t="s">
        <v>192</v>
      </c>
      <c r="J34">
        <f>COUNTIF(E34:I34,"P")</f>
        <v>0</v>
      </c>
      <c r="K34">
        <f>ROUND(J34*10/4,0)</f>
        <v>0</v>
      </c>
      <c r="L34" t="s">
        <v>192</v>
      </c>
      <c r="M34" t="s">
        <v>192</v>
      </c>
      <c r="N34" t="s">
        <v>192</v>
      </c>
      <c r="O34" t="s">
        <v>192</v>
      </c>
      <c r="P34" t="s">
        <v>192</v>
      </c>
      <c r="Q34" t="s">
        <v>192</v>
      </c>
      <c r="R34" t="s">
        <v>192</v>
      </c>
      <c r="S34" t="s">
        <v>192</v>
      </c>
      <c r="T34" t="s">
        <v>192</v>
      </c>
    </row>
    <row r="35" spans="1:20" x14ac:dyDescent="0.2">
      <c r="A35" s="1">
        <v>27</v>
      </c>
      <c r="B35" s="1" t="s">
        <v>139</v>
      </c>
      <c r="C35" s="1" t="s">
        <v>140</v>
      </c>
      <c r="D35" s="1" t="s">
        <v>17</v>
      </c>
      <c r="E35" s="7" t="s">
        <v>22</v>
      </c>
      <c r="F35" s="7" t="s">
        <v>22</v>
      </c>
      <c r="G35" s="7" t="s">
        <v>194</v>
      </c>
      <c r="H35" s="7" t="s">
        <v>192</v>
      </c>
      <c r="I35" s="7" t="s">
        <v>192</v>
      </c>
      <c r="J35">
        <f>COUNTIF(E35:I35,"P")</f>
        <v>2</v>
      </c>
      <c r="K35">
        <f>ROUND(J35*10/4,0)</f>
        <v>5</v>
      </c>
      <c r="L35" t="s">
        <v>192</v>
      </c>
      <c r="M35" t="s">
        <v>192</v>
      </c>
      <c r="N35" t="s">
        <v>192</v>
      </c>
      <c r="O35" t="s">
        <v>192</v>
      </c>
      <c r="P35" t="s">
        <v>192</v>
      </c>
      <c r="Q35" t="s">
        <v>192</v>
      </c>
      <c r="R35" t="s">
        <v>192</v>
      </c>
      <c r="S35" t="s">
        <v>192</v>
      </c>
      <c r="T35" t="s">
        <v>192</v>
      </c>
    </row>
    <row r="36" spans="1:20" x14ac:dyDescent="0.2">
      <c r="A36" s="1">
        <v>29</v>
      </c>
      <c r="B36" s="1" t="s">
        <v>197</v>
      </c>
      <c r="C36" s="1" t="s">
        <v>199</v>
      </c>
      <c r="D36" s="1" t="s">
        <v>198</v>
      </c>
      <c r="F36" s="7"/>
      <c r="H36" s="7"/>
      <c r="I36" s="7"/>
      <c r="L36" t="s">
        <v>22</v>
      </c>
      <c r="M36" t="s">
        <v>22</v>
      </c>
      <c r="N36" t="s">
        <v>22</v>
      </c>
      <c r="O36" t="s">
        <v>22</v>
      </c>
      <c r="P36" t="s">
        <v>22</v>
      </c>
      <c r="Q36" t="s">
        <v>22</v>
      </c>
      <c r="R36" t="s">
        <v>22</v>
      </c>
      <c r="S36" t="s">
        <v>192</v>
      </c>
      <c r="T36" t="s">
        <v>22</v>
      </c>
    </row>
    <row r="37" spans="1:20" x14ac:dyDescent="0.2">
      <c r="A37" s="1">
        <v>34</v>
      </c>
      <c r="B37" s="1" t="s">
        <v>212</v>
      </c>
      <c r="C37" s="1" t="s">
        <v>210</v>
      </c>
      <c r="D37" s="1" t="s">
        <v>211</v>
      </c>
      <c r="F37" s="7"/>
      <c r="H37" s="7"/>
      <c r="I37" s="7"/>
      <c r="Q37" t="s">
        <v>22</v>
      </c>
      <c r="R37" t="s">
        <v>192</v>
      </c>
      <c r="S37" t="s">
        <v>22</v>
      </c>
      <c r="T37" t="s">
        <v>22</v>
      </c>
    </row>
    <row r="38" spans="1:20" x14ac:dyDescent="0.2">
      <c r="A38" s="1">
        <v>12</v>
      </c>
      <c r="B38" s="1" t="s">
        <v>104</v>
      </c>
      <c r="C38" s="1" t="s">
        <v>105</v>
      </c>
      <c r="D38" s="1" t="s">
        <v>17</v>
      </c>
      <c r="E38" s="7" t="s">
        <v>22</v>
      </c>
      <c r="F38" s="7" t="s">
        <v>192</v>
      </c>
      <c r="H38" s="57" t="s">
        <v>22</v>
      </c>
      <c r="I38" s="7" t="s">
        <v>22</v>
      </c>
      <c r="J38">
        <f>COUNTIF(E38:I38,"P")</f>
        <v>3</v>
      </c>
      <c r="K38">
        <f>ROUND(J38*10/4,0)</f>
        <v>8</v>
      </c>
      <c r="L38" t="s">
        <v>22</v>
      </c>
      <c r="M38" t="s">
        <v>192</v>
      </c>
      <c r="N38" t="s">
        <v>192</v>
      </c>
      <c r="O38" t="s">
        <v>192</v>
      </c>
      <c r="P38" t="s">
        <v>192</v>
      </c>
      <c r="Q38" t="s">
        <v>192</v>
      </c>
      <c r="R38" t="s">
        <v>192</v>
      </c>
      <c r="S38" t="s">
        <v>22</v>
      </c>
      <c r="T38" t="s">
        <v>22</v>
      </c>
    </row>
    <row r="39" spans="1:20" x14ac:dyDescent="0.2">
      <c r="A39" s="1">
        <v>32</v>
      </c>
      <c r="B39" s="1" t="s">
        <v>203</v>
      </c>
      <c r="C39" s="1" t="s">
        <v>204</v>
      </c>
      <c r="D39" s="1" t="s">
        <v>205</v>
      </c>
      <c r="F39" s="7"/>
      <c r="H39" s="7"/>
      <c r="I39" s="7"/>
      <c r="O39" t="s">
        <v>22</v>
      </c>
      <c r="P39" t="s">
        <v>22</v>
      </c>
      <c r="Q39" t="s">
        <v>192</v>
      </c>
      <c r="R39" t="s">
        <v>22</v>
      </c>
      <c r="S39" t="s">
        <v>192</v>
      </c>
      <c r="T39" t="s">
        <v>22</v>
      </c>
    </row>
    <row r="40" spans="1:20" x14ac:dyDescent="0.2">
      <c r="A40" s="1">
        <v>18</v>
      </c>
      <c r="B40" s="1" t="s">
        <v>46</v>
      </c>
      <c r="C40" s="1" t="s">
        <v>47</v>
      </c>
      <c r="D40" s="1" t="s">
        <v>17</v>
      </c>
      <c r="E40" s="7" t="s">
        <v>22</v>
      </c>
      <c r="F40" s="7" t="s">
        <v>22</v>
      </c>
      <c r="H40" s="7" t="s">
        <v>22</v>
      </c>
      <c r="I40" s="7" t="s">
        <v>22</v>
      </c>
      <c r="J40">
        <f>COUNTIF(E40:I40,"P")</f>
        <v>4</v>
      </c>
      <c r="K40">
        <f>ROUND(J40*10/4,0)</f>
        <v>10</v>
      </c>
      <c r="L40" t="s">
        <v>22</v>
      </c>
      <c r="M40" t="s">
        <v>22</v>
      </c>
      <c r="N40" t="s">
        <v>22</v>
      </c>
      <c r="O40" t="s">
        <v>22</v>
      </c>
      <c r="P40" t="s">
        <v>22</v>
      </c>
      <c r="Q40" t="s">
        <v>22</v>
      </c>
      <c r="R40" t="s">
        <v>22</v>
      </c>
      <c r="S40" t="s">
        <v>22</v>
      </c>
      <c r="T40" t="s">
        <v>22</v>
      </c>
    </row>
    <row r="41" spans="1:20" x14ac:dyDescent="0.2">
      <c r="A41" s="1">
        <v>28</v>
      </c>
      <c r="B41" s="1" t="s">
        <v>189</v>
      </c>
      <c r="C41" s="1" t="s">
        <v>188</v>
      </c>
      <c r="D41" s="1" t="s">
        <v>198</v>
      </c>
      <c r="F41" s="7"/>
      <c r="H41" s="7"/>
      <c r="I41" s="7"/>
      <c r="L41" t="s">
        <v>22</v>
      </c>
      <c r="M41" t="s">
        <v>22</v>
      </c>
      <c r="N41" t="s">
        <v>22</v>
      </c>
      <c r="O41" t="s">
        <v>22</v>
      </c>
      <c r="P41" t="s">
        <v>22</v>
      </c>
      <c r="Q41" t="s">
        <v>22</v>
      </c>
      <c r="R41" t="s">
        <v>22</v>
      </c>
      <c r="S41" t="s">
        <v>192</v>
      </c>
      <c r="T41" t="s">
        <v>22</v>
      </c>
    </row>
    <row r="42" spans="1:20" x14ac:dyDescent="0.2">
      <c r="A42" s="1">
        <v>40</v>
      </c>
      <c r="D42" s="1"/>
      <c r="F42" s="7"/>
      <c r="H42" s="7"/>
      <c r="I42" s="7"/>
    </row>
    <row r="43" spans="1:20" x14ac:dyDescent="0.2">
      <c r="A43" s="1">
        <v>41</v>
      </c>
      <c r="D43" s="1"/>
      <c r="F43" s="7"/>
      <c r="H43" s="7"/>
      <c r="I43" s="7"/>
    </row>
    <row r="44" spans="1:20" x14ac:dyDescent="0.2">
      <c r="D44" s="1" t="s">
        <v>191</v>
      </c>
      <c r="E44" s="1">
        <f>COUNTIF(E2:E28,"P")</f>
        <v>9</v>
      </c>
      <c r="F44" s="1">
        <f>COUNTIF(F2:F28,"P")</f>
        <v>7</v>
      </c>
      <c r="H44" s="1">
        <f>COUNTIF(H2:H28,"P")</f>
        <v>5</v>
      </c>
      <c r="I44" s="57">
        <f>COUNTIF(I2:I28,"P")</f>
        <v>4</v>
      </c>
      <c r="L44" s="1">
        <f>COUNTIF(L2:L31,"P")</f>
        <v>4</v>
      </c>
      <c r="M44" s="1">
        <f>COUNTIF(M2:M31,"P")</f>
        <v>4</v>
      </c>
      <c r="N44" s="1">
        <f>COUNTIF(N2:N32,"P")</f>
        <v>4</v>
      </c>
      <c r="O44" s="1">
        <f>COUNTIF(O2:O33,"P")</f>
        <v>4</v>
      </c>
      <c r="P44" s="1">
        <f>COUNTIF(P2:P38,"P")</f>
        <v>3</v>
      </c>
      <c r="Q44" s="1">
        <f>COUNTIF(Q2:Q38,"P")</f>
        <v>7</v>
      </c>
      <c r="R44" s="1">
        <f>COUNTIF(R2:R38,"P")</f>
        <v>6</v>
      </c>
      <c r="S44" s="1">
        <f>COUNTIF(S2:S41,"P")</f>
        <v>8</v>
      </c>
      <c r="T44" s="1">
        <f>COUNTIF(T2:T41,"P")</f>
        <v>6</v>
      </c>
    </row>
  </sheetData>
  <sortState ref="A2:T41">
    <sortCondition ref="T2:T41"/>
    <sortCondition ref="B2:B41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2026-09-24T13:23:47Z</dcterms:modified>
  <dc:language>es-AR</dc:language>
</cp:coreProperties>
</file>