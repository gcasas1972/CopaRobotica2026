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casas\CopaRobotica2026\documentacion\generada\"/>
    </mc:Choice>
  </mc:AlternateContent>
  <bookViews>
    <workbookView xWindow="0" yWindow="0" windowWidth="16380" windowHeight="8190" tabRatio="500" activeTab="1"/>
  </bookViews>
  <sheets>
    <sheet name="alumnos" sheetId="1" r:id="rId1"/>
    <sheet name="Asistencia" sheetId="2" r:id="rId2"/>
  </sheets>
  <calcPr calcId="162913" iterateDelta="1E-4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X44" i="2" l="1"/>
  <c r="W44" i="2" l="1"/>
  <c r="V44" i="2" l="1"/>
  <c r="U44" i="2" l="1"/>
  <c r="T44" i="2" l="1"/>
  <c r="S44" i="2" l="1"/>
  <c r="R44" i="2" l="1"/>
  <c r="Q44" i="2" l="1"/>
  <c r="P44" i="2"/>
  <c r="O44" i="2" l="1"/>
  <c r="N44" i="2" l="1"/>
  <c r="M44" i="2" l="1"/>
  <c r="L44" i="2" l="1"/>
  <c r="J5" i="2" l="1"/>
  <c r="K5" i="2" s="1"/>
  <c r="J6" i="2"/>
  <c r="K6" i="2" s="1"/>
  <c r="J7" i="2"/>
  <c r="K7" i="2" s="1"/>
  <c r="J8" i="2"/>
  <c r="K8" i="2" s="1"/>
  <c r="J9" i="2"/>
  <c r="K9" i="2" s="1"/>
  <c r="J10" i="2"/>
  <c r="K10" i="2" s="1"/>
  <c r="J11" i="2"/>
  <c r="K11" i="2" s="1"/>
  <c r="J12" i="2"/>
  <c r="K12" i="2" s="1"/>
  <c r="J13" i="2"/>
  <c r="K13" i="2" s="1"/>
  <c r="J14" i="2"/>
  <c r="K14" i="2" s="1"/>
  <c r="J38" i="2"/>
  <c r="K38" i="2" s="1"/>
  <c r="J17" i="2"/>
  <c r="K17" i="2" s="1"/>
  <c r="J18" i="2"/>
  <c r="K18" i="2" s="1"/>
  <c r="J19" i="2"/>
  <c r="K19" i="2" s="1"/>
  <c r="J20" i="2"/>
  <c r="K20" i="2" s="1"/>
  <c r="J21" i="2"/>
  <c r="K21" i="2" s="1"/>
  <c r="J40" i="2"/>
  <c r="K40" i="2" s="1"/>
  <c r="J22" i="2"/>
  <c r="K22" i="2" s="1"/>
  <c r="J23" i="2"/>
  <c r="K23" i="2" s="1"/>
  <c r="J24" i="2"/>
  <c r="K24" i="2" s="1"/>
  <c r="J27" i="2"/>
  <c r="K27" i="2" s="1"/>
  <c r="J28" i="2"/>
  <c r="K28" i="2" s="1"/>
  <c r="J30" i="2"/>
  <c r="K30" i="2" s="1"/>
  <c r="J31" i="2"/>
  <c r="K31" i="2" s="1"/>
  <c r="J33" i="2"/>
  <c r="K33" i="2" s="1"/>
  <c r="J34" i="2"/>
  <c r="K34" i="2" s="1"/>
  <c r="J4" i="2"/>
  <c r="K4" i="2" s="1"/>
  <c r="I44" i="2"/>
  <c r="H44" i="2" l="1"/>
  <c r="F44" i="2" l="1"/>
  <c r="E44" i="2"/>
  <c r="M34" i="1"/>
</calcChain>
</file>

<file path=xl/sharedStrings.xml><?xml version="1.0" encoding="utf-8"?>
<sst xmlns="http://schemas.openxmlformats.org/spreadsheetml/2006/main" count="1012" uniqueCount="222">
  <si>
    <t>Alumnos</t>
  </si>
  <si>
    <t>º</t>
  </si>
  <si>
    <t>nro</t>
  </si>
  <si>
    <t>apellido</t>
  </si>
  <si>
    <t>nombres</t>
  </si>
  <si>
    <t>dni</t>
  </si>
  <si>
    <t>fecha de envio</t>
  </si>
  <si>
    <t>correo electronoica</t>
  </si>
  <si>
    <t>fecha de nacimiento</t>
  </si>
  <si>
    <t>curso</t>
  </si>
  <si>
    <t>especialidad</t>
  </si>
  <si>
    <t>obs</t>
  </si>
  <si>
    <t>grupo</t>
  </si>
  <si>
    <t>Docente</t>
  </si>
  <si>
    <t>Andrada Bascope</t>
  </si>
  <si>
    <t>Victoria Abril </t>
  </si>
  <si>
    <t>tory.and.bas@gmail.com</t>
  </si>
  <si>
    <t>4B</t>
  </si>
  <si>
    <t>avionica</t>
  </si>
  <si>
    <t>ok para cargar</t>
  </si>
  <si>
    <t>SIR-321</t>
  </si>
  <si>
    <t>Cantelli</t>
  </si>
  <si>
    <t>P</t>
  </si>
  <si>
    <t>chucusea Quiroga</t>
  </si>
  <si>
    <t>Zaira Ruth</t>
  </si>
  <si>
    <t>quiroruth1@gmail.com</t>
  </si>
  <si>
    <t>BSI-258</t>
  </si>
  <si>
    <t>Casas</t>
  </si>
  <si>
    <t>Farías Ruiz </t>
  </si>
  <si>
    <t>Paloma Marianella</t>
  </si>
  <si>
    <t>palofariasruiz@gmail.com</t>
  </si>
  <si>
    <t>13/04/2011</t>
  </si>
  <si>
    <t>NQG-987</t>
  </si>
  <si>
    <t>Pages</t>
  </si>
  <si>
    <t>Juncal</t>
  </si>
  <si>
    <t>Demian Ignacio</t>
  </si>
  <si>
    <t>juncaldemian12@gmail.com</t>
  </si>
  <si>
    <t>16/04/2010</t>
  </si>
  <si>
    <t>5A</t>
  </si>
  <si>
    <t>Alcaraz, Juncal, Lucero, Lujan, Manrique</t>
  </si>
  <si>
    <t>Lujan</t>
  </si>
  <si>
    <t>Thiago Gabriel</t>
  </si>
  <si>
    <t>thiaguitolujan09@gmail.com</t>
  </si>
  <si>
    <t>joaquin alcaraz, juncal demian, lujan thiago, lucero valentin, Tahiel manrique</t>
  </si>
  <si>
    <t>PBM-741</t>
  </si>
  <si>
    <t>Da Costa</t>
  </si>
  <si>
    <t>Luna Serrano </t>
  </si>
  <si>
    <t>Benicio valentin</t>
  </si>
  <si>
    <t>benicio.luna11@gmail.com</t>
  </si>
  <si>
    <t>Maidana</t>
  </si>
  <si>
    <t>Kevin Nahuel</t>
  </si>
  <si>
    <t> kevinmaidana315@gmail.com</t>
  </si>
  <si>
    <t>10/08/2009</t>
  </si>
  <si>
    <t>5B</t>
  </si>
  <si>
    <t>JKQ-448</t>
  </si>
  <si>
    <t>Molinero</t>
  </si>
  <si>
    <t>Prado</t>
  </si>
  <si>
    <t>Mateo</t>
  </si>
  <si>
    <t>mateoprado2701@gmail.com</t>
  </si>
  <si>
    <t>Ravanelli</t>
  </si>
  <si>
    <t>Ivan Manuel</t>
  </si>
  <si>
    <t>ivanravanelli912@gmail.com</t>
  </si>
  <si>
    <t>XNN-744</t>
  </si>
  <si>
    <t>Cuenca</t>
  </si>
  <si>
    <t>Trinidad Sanabria</t>
  </si>
  <si>
    <t>Carlos Leonel</t>
  </si>
  <si>
    <t>c.l.t.s.acad@gmail.com</t>
  </si>
  <si>
    <t>31/10/2007</t>
  </si>
  <si>
    <t>7A</t>
  </si>
  <si>
    <t>Matías Hernan</t>
  </si>
  <si>
    <t>matruia81@gmail.com</t>
  </si>
  <si>
    <t>Alcaraz</t>
  </si>
  <si>
    <t xml:space="preserve">Joaquín Leandro David </t>
  </si>
  <si>
    <t>Ven09130814@gmail.com</t>
  </si>
  <si>
    <t>Alcaraz, Juncal, Lucero, Luján, Manrique</t>
  </si>
  <si>
    <t>Alegre</t>
  </si>
  <si>
    <t>Sofía Angélica</t>
  </si>
  <si>
    <t>sofialegre58@gmail.com</t>
  </si>
  <si>
    <t>6B</t>
  </si>
  <si>
    <t>Arredondo</t>
  </si>
  <si>
    <t>Facundo</t>
  </si>
  <si>
    <t>arredondofacundo406@gmail.com</t>
  </si>
  <si>
    <t>07/05/2010</t>
  </si>
  <si>
    <t>Arredondo facundo, Ravanelli Iván, Prado Mateos, Palermo Alejo, Martinez fabrizio</t>
  </si>
  <si>
    <t>Carrizo</t>
  </si>
  <si>
    <t>Tiziano</t>
  </si>
  <si>
    <t>tizianoinac23@gmail.com</t>
  </si>
  <si>
    <t>Cetera</t>
  </si>
  <si>
    <t>Ulises Nicolás</t>
  </si>
  <si>
    <t>ulimirage3@gmail.com</t>
  </si>
  <si>
    <t xml:space="preserve">Chiapparo </t>
  </si>
  <si>
    <t>Tiago Benjamin</t>
  </si>
  <si>
    <t xml:space="preserve"> benjaniupi@gmail.com</t>
  </si>
  <si>
    <t>16/09/2009</t>
  </si>
  <si>
    <t>CORREA</t>
  </si>
  <si>
    <t>Santino Jonas</t>
  </si>
  <si>
    <t>santycorreasd24@gmail.com</t>
  </si>
  <si>
    <t>20/10/2010</t>
  </si>
  <si>
    <t>Farías Ruiz</t>
  </si>
  <si>
    <t>Candelaria Luisana </t>
  </si>
  <si>
    <t>Giraldo Gonzalez</t>
  </si>
  <si>
    <t>Juan Diego</t>
  </si>
  <si>
    <t>juandiegonzales1311@gmail.com</t>
  </si>
  <si>
    <t>13/11/2009</t>
  </si>
  <si>
    <t>Gómez</t>
  </si>
  <si>
    <t>Thiago</t>
  </si>
  <si>
    <t>punaxs31@gmail.com</t>
  </si>
  <si>
    <t>Lemos</t>
  </si>
  <si>
    <t>Sophie Micaela</t>
  </si>
  <si>
    <t>sophielemos15@gmail.com </t>
  </si>
  <si>
    <t>5/10/2010</t>
  </si>
  <si>
    <t>Lescano</t>
  </si>
  <si>
    <t>mateobautistalescano123@gmail.com</t>
  </si>
  <si>
    <t>Lucero</t>
  </si>
  <si>
    <t>Thiago Valentín</t>
  </si>
  <si>
    <t>valentinluceroxd@gmail.com</t>
  </si>
  <si>
    <t>Alcaraz, Juncal, Lucero, Luján, Manrique </t>
  </si>
  <si>
    <t>MANRIQUE DI FLORIO</t>
  </si>
  <si>
    <t>Tahiel Eliseo</t>
  </si>
  <si>
    <t>tahiel.e.manrique@gmail.com</t>
  </si>
  <si>
    <t>Alcaraz, Juncal, Lucero, Lujan y Manrique</t>
  </si>
  <si>
    <t>Martinez Ruiz Diaz</t>
  </si>
  <si>
    <t>Fabrizio Juan</t>
  </si>
  <si>
    <t>martnezfabrizio84@gmail.com</t>
  </si>
  <si>
    <t>6/10/2009</t>
  </si>
  <si>
    <t>Melin</t>
  </si>
  <si>
    <t>Franco Ezequiel</t>
  </si>
  <si>
    <t>franmelin14@gmail.com</t>
  </si>
  <si>
    <t>22/06/2010</t>
  </si>
  <si>
    <t>Rodriguez</t>
  </si>
  <si>
    <t>Venus Yasmìn</t>
  </si>
  <si>
    <t>ven09130814@gmail.com</t>
  </si>
  <si>
    <t>Tiseyra</t>
  </si>
  <si>
    <t>Isabella Giuliana</t>
  </si>
  <si>
    <t>chidodejameempa@gmail.com</t>
  </si>
  <si>
    <t>18/11/2010</t>
  </si>
  <si>
    <t>Videla</t>
  </si>
  <si>
    <t>Giuliana Abril</t>
  </si>
  <si>
    <t>videlagiuliana4@gmail.com</t>
  </si>
  <si>
    <t xml:space="preserve">Zapata </t>
  </si>
  <si>
    <t>Ezequiel</t>
  </si>
  <si>
    <t>ezequielzapatasantos@gmail.com</t>
  </si>
  <si>
    <t>Docentes</t>
  </si>
  <si>
    <t>email</t>
  </si>
  <si>
    <t>Arias</t>
  </si>
  <si>
    <t>Raul</t>
  </si>
  <si>
    <t>raularias@gmail.com</t>
  </si>
  <si>
    <t xml:space="preserve">Cantelli </t>
  </si>
  <si>
    <t>Carolina Irene</t>
  </si>
  <si>
    <t xml:space="preserve">ccantelli@abc.gob.ar </t>
  </si>
  <si>
    <t>Nelson Gabriel</t>
  </si>
  <si>
    <t>gcasas1972@gmail.com</t>
  </si>
  <si>
    <t>Gaston</t>
  </si>
  <si>
    <t>profesorcuencagaston@gmail.com</t>
  </si>
  <si>
    <t>da Costa Cardante</t>
  </si>
  <si>
    <t>David Alejandro</t>
  </si>
  <si>
    <t>aleedacosta@gmail.com</t>
  </si>
  <si>
    <t>Damas Rendon</t>
  </si>
  <si>
    <t>Juan Manuel</t>
  </si>
  <si>
    <t xml:space="preserve"> noemirojas6666@gmail.com</t>
  </si>
  <si>
    <t>Julo Javier</t>
  </si>
  <si>
    <t xml:space="preserve">jmolinero@abc.gob.ar </t>
  </si>
  <si>
    <t>Maximiliano</t>
  </si>
  <si>
    <t>pagesmaximiliano@gmail.com</t>
  </si>
  <si>
    <t>PARDO</t>
  </si>
  <si>
    <t>Noemí</t>
  </si>
  <si>
    <t xml:space="preserve">noemirojas6666@gmail.com </t>
  </si>
  <si>
    <t xml:space="preserve">Serrano </t>
  </si>
  <si>
    <t>Serranofacundoignacio@gmail.com</t>
  </si>
  <si>
    <t>link</t>
  </si>
  <si>
    <t>https://plataforma.coparobotica.com/login?KJO-056</t>
  </si>
  <si>
    <t>pws</t>
  </si>
  <si>
    <t xml:space="preserve">CUE </t>
  </si>
  <si>
    <t>0690010/00</t>
  </si>
  <si>
    <t>In4c-c14t4</t>
  </si>
  <si>
    <t>usu</t>
  </si>
  <si>
    <t>Avionica-ciata@faa.mil.ar</t>
  </si>
  <si>
    <t>avionica-ciata@faa.mil.ar</t>
  </si>
  <si>
    <t>a</t>
  </si>
  <si>
    <t>pwd</t>
  </si>
  <si>
    <t>correo de la fuerza</t>
  </si>
  <si>
    <t>https://webcorreo.faa.mil.ar/</t>
  </si>
  <si>
    <t xml:space="preserve"> avionica-ciata@faa.mil.ar</t>
  </si>
  <si>
    <t>bl20235512913</t>
  </si>
  <si>
    <t>Carabajal</t>
  </si>
  <si>
    <t>Dylan</t>
  </si>
  <si>
    <t>Chucusea Quiroga</t>
  </si>
  <si>
    <t>Correa</t>
  </si>
  <si>
    <t>Santino</t>
  </si>
  <si>
    <t>Martinez</t>
  </si>
  <si>
    <t>isabella giuliana</t>
  </si>
  <si>
    <t>presente</t>
  </si>
  <si>
    <t>A</t>
  </si>
  <si>
    <t>muelte</t>
  </si>
  <si>
    <t>se retiraron antes</t>
  </si>
  <si>
    <t>prsentes</t>
  </si>
  <si>
    <t>nota</t>
  </si>
  <si>
    <t>Bustos Lisboa</t>
  </si>
  <si>
    <t>2C</t>
  </si>
  <si>
    <t>Salvador</t>
  </si>
  <si>
    <t>Juan</t>
  </si>
  <si>
    <t>Matorelli</t>
  </si>
  <si>
    <t xml:space="preserve">Lopez </t>
  </si>
  <si>
    <t>Joaquin Alejandro</t>
  </si>
  <si>
    <t>4A</t>
  </si>
  <si>
    <t xml:space="preserve">Conti </t>
  </si>
  <si>
    <t>Candela</t>
  </si>
  <si>
    <t xml:space="preserve">Aguirre </t>
  </si>
  <si>
    <t>Guadalupe</t>
  </si>
  <si>
    <t>Zamira</t>
  </si>
  <si>
    <t>2D</t>
  </si>
  <si>
    <t>Galiano</t>
  </si>
  <si>
    <t>Sanchez</t>
  </si>
  <si>
    <t>Lionel</t>
  </si>
  <si>
    <t>Vasiliev</t>
  </si>
  <si>
    <t>Fausto</t>
  </si>
  <si>
    <t>Ramiro</t>
  </si>
  <si>
    <t>Ibañez</t>
  </si>
  <si>
    <t>Nicole</t>
  </si>
  <si>
    <t>Oyola</t>
  </si>
  <si>
    <t>Fabrizio</t>
  </si>
  <si>
    <t>Bazo Marchi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</si>
</sst>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"/>
    <numFmt numFmtId="165" formatCode="dd\-mmm"/>
  </numFmts>
  <fonts count="7" x14ac:knownFonts="1">
    <font>
      <sz val="10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  <font>
      <sz val="10"/>
      <color rgb="FF0000FF"/>
      <name val="Times New Roman"/>
      <family val="1"/>
    </font>
    <font>
      <sz val="10"/>
      <color rgb="FF0000FF"/>
      <name val="Arial"/>
      <family val="2"/>
    </font>
    <font>
      <sz val="10"/>
      <color rgb="FFFFFFFF"/>
      <name val="Arial"/>
      <family val="2"/>
    </font>
    <font>
      <u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A933"/>
        <bgColor rgb="FF158466"/>
      </patternFill>
    </fill>
    <fill>
      <patternFill patternType="solid">
        <fgColor rgb="FFFFBF00"/>
        <bgColor rgb="FFFF9900"/>
      </patternFill>
    </fill>
    <fill>
      <patternFill patternType="solid">
        <fgColor rgb="FFFF0000"/>
        <bgColor rgb="FFED4C05"/>
      </patternFill>
    </fill>
    <fill>
      <patternFill patternType="solid">
        <fgColor rgb="FF2A6099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A1467E"/>
        <bgColor rgb="FF993366"/>
      </patternFill>
    </fill>
    <fill>
      <patternFill patternType="solid">
        <fgColor rgb="FF158466"/>
        <bgColor rgb="FF008080"/>
      </patternFill>
    </fill>
    <fill>
      <patternFill patternType="solid">
        <fgColor rgb="FFED4C05"/>
        <bgColor rgb="FF9933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58">
    <xf numFmtId="0" fontId="0" fillId="0" borderId="0" xfId="0"/>
    <xf numFmtId="0" fontId="0" fillId="0" borderId="0" xfId="0" applyAlignment="1" applyProtection="1"/>
    <xf numFmtId="164" fontId="0" fillId="0" borderId="0" xfId="0" applyNumberFormat="1" applyAlignment="1" applyProtection="1"/>
    <xf numFmtId="0" fontId="0" fillId="2" borderId="0" xfId="0" applyFill="1" applyAlignment="1" applyProtection="1"/>
    <xf numFmtId="0" fontId="0" fillId="2" borderId="0" xfId="0" applyFont="1" applyFill="1" applyAlignment="1" applyProtection="1"/>
    <xf numFmtId="0" fontId="0" fillId="2" borderId="0" xfId="0" applyFont="1" applyFill="1" applyAlignment="1" applyProtection="1">
      <alignment wrapText="1"/>
    </xf>
    <xf numFmtId="164" fontId="0" fillId="2" borderId="0" xfId="0" applyNumberFormat="1" applyFill="1" applyAlignment="1" applyProtection="1"/>
    <xf numFmtId="0" fontId="0" fillId="0" borderId="0" xfId="0" applyFont="1" applyAlignment="1" applyProtection="1"/>
    <xf numFmtId="0" fontId="0" fillId="3" borderId="0" xfId="0" applyFill="1" applyAlignment="1" applyProtection="1"/>
    <xf numFmtId="0" fontId="1" fillId="3" borderId="0" xfId="1" applyFont="1" applyFill="1" applyBorder="1" applyAlignment="1" applyProtection="1"/>
    <xf numFmtId="164" fontId="0" fillId="3" borderId="0" xfId="0" applyNumberFormat="1" applyFill="1" applyAlignment="1" applyProtection="1"/>
    <xf numFmtId="0" fontId="0" fillId="3" borderId="0" xfId="0" applyFont="1" applyFill="1" applyAlignment="1" applyProtection="1"/>
    <xf numFmtId="0" fontId="2" fillId="3" borderId="0" xfId="0" applyFont="1" applyFill="1" applyAlignment="1" applyProtection="1"/>
    <xf numFmtId="0" fontId="0" fillId="4" borderId="0" xfId="0" applyFill="1" applyAlignment="1" applyProtection="1"/>
    <xf numFmtId="0" fontId="0" fillId="5" borderId="0" xfId="0" applyFill="1" applyAlignment="1" applyProtection="1"/>
    <xf numFmtId="0" fontId="0" fillId="5" borderId="0" xfId="0" applyFont="1" applyFill="1" applyAlignment="1" applyProtection="1">
      <alignment wrapText="1"/>
    </xf>
    <xf numFmtId="0" fontId="3" fillId="5" borderId="0" xfId="0" applyFont="1" applyFill="1" applyAlignment="1" applyProtection="1">
      <alignment wrapText="1"/>
    </xf>
    <xf numFmtId="49" fontId="0" fillId="5" borderId="0" xfId="0" applyNumberFormat="1" applyFont="1" applyFill="1" applyAlignment="1" applyProtection="1">
      <alignment wrapText="1"/>
    </xf>
    <xf numFmtId="0" fontId="0" fillId="6" borderId="0" xfId="0" applyFill="1" applyAlignment="1" applyProtection="1"/>
    <xf numFmtId="0" fontId="1" fillId="6" borderId="0" xfId="1" applyFont="1" applyFill="1" applyBorder="1" applyAlignment="1" applyProtection="1"/>
    <xf numFmtId="0" fontId="0" fillId="7" borderId="0" xfId="0" applyFill="1" applyAlignment="1" applyProtection="1"/>
    <xf numFmtId="0" fontId="0" fillId="7" borderId="0" xfId="0" applyFont="1" applyFill="1" applyAlignment="1" applyProtection="1">
      <alignment wrapText="1"/>
    </xf>
    <xf numFmtId="49" fontId="0" fillId="7" borderId="0" xfId="0" applyNumberFormat="1" applyFont="1" applyFill="1" applyAlignment="1" applyProtection="1">
      <alignment wrapText="1"/>
    </xf>
    <xf numFmtId="0" fontId="0" fillId="4" borderId="0" xfId="0" applyFont="1" applyFill="1" applyAlignment="1" applyProtection="1">
      <alignment wrapText="1"/>
    </xf>
    <xf numFmtId="164" fontId="0" fillId="4" borderId="0" xfId="0" applyNumberFormat="1" applyFont="1" applyFill="1" applyAlignment="1" applyProtection="1">
      <alignment wrapText="1"/>
    </xf>
    <xf numFmtId="49" fontId="0" fillId="4" borderId="0" xfId="0" applyNumberFormat="1" applyFont="1" applyFill="1" applyAlignment="1" applyProtection="1">
      <alignment wrapText="1"/>
    </xf>
    <xf numFmtId="164" fontId="0" fillId="7" borderId="0" xfId="0" applyNumberFormat="1" applyFill="1" applyAlignment="1" applyProtection="1"/>
    <xf numFmtId="0" fontId="4" fillId="3" borderId="0" xfId="0" applyFont="1" applyFill="1" applyAlignment="1" applyProtection="1"/>
    <xf numFmtId="164" fontId="0" fillId="4" borderId="0" xfId="0" applyNumberFormat="1" applyFill="1" applyAlignment="1" applyProtection="1"/>
    <xf numFmtId="0" fontId="1" fillId="5" borderId="0" xfId="1" applyFont="1" applyFill="1" applyBorder="1" applyAlignment="1" applyProtection="1"/>
    <xf numFmtId="0" fontId="4" fillId="2" borderId="0" xfId="0" applyFont="1" applyFill="1" applyAlignment="1" applyProtection="1"/>
    <xf numFmtId="49" fontId="0" fillId="2" borderId="0" xfId="0" applyNumberFormat="1" applyFont="1" applyFill="1" applyAlignment="1" applyProtection="1">
      <alignment wrapText="1"/>
    </xf>
    <xf numFmtId="0" fontId="0" fillId="5" borderId="0" xfId="0" applyFont="1" applyFill="1" applyAlignment="1" applyProtection="1"/>
    <xf numFmtId="0" fontId="1" fillId="2" borderId="0" xfId="1" applyFont="1" applyFill="1" applyBorder="1" applyAlignment="1" applyProtection="1"/>
    <xf numFmtId="0" fontId="0" fillId="8" borderId="0" xfId="0" applyFill="1" applyAlignment="1" applyProtection="1"/>
    <xf numFmtId="0" fontId="4" fillId="4" borderId="0" xfId="0" applyFont="1" applyFill="1" applyAlignment="1" applyProtection="1"/>
    <xf numFmtId="0" fontId="0" fillId="4" borderId="0" xfId="0" applyFont="1" applyFill="1" applyAlignment="1" applyProtection="1"/>
    <xf numFmtId="164" fontId="0" fillId="7" borderId="0" xfId="0" applyNumberFormat="1" applyFont="1" applyFill="1" applyAlignment="1" applyProtection="1">
      <alignment wrapText="1"/>
    </xf>
    <xf numFmtId="0" fontId="0" fillId="7" borderId="0" xfId="0" applyFont="1" applyFill="1" applyAlignment="1" applyProtection="1"/>
    <xf numFmtId="0" fontId="0" fillId="0" borderId="0" xfId="0" applyFont="1" applyAlignment="1" applyProtection="1">
      <alignment wrapText="1"/>
    </xf>
    <xf numFmtId="49" fontId="0" fillId="0" borderId="0" xfId="0" applyNumberFormat="1" applyFont="1" applyAlignment="1" applyProtection="1">
      <alignment wrapText="1"/>
    </xf>
    <xf numFmtId="0" fontId="0" fillId="9" borderId="0" xfId="0" applyFill="1" applyAlignment="1" applyProtection="1"/>
    <xf numFmtId="0" fontId="5" fillId="4" borderId="0" xfId="0" applyFont="1" applyFill="1" applyAlignment="1" applyProtection="1"/>
    <xf numFmtId="0" fontId="4" fillId="9" borderId="0" xfId="0" applyFont="1" applyFill="1" applyAlignment="1" applyProtection="1"/>
    <xf numFmtId="164" fontId="0" fillId="9" borderId="0" xfId="0" applyNumberFormat="1" applyFill="1" applyAlignment="1" applyProtection="1"/>
    <xf numFmtId="0" fontId="4" fillId="6" borderId="0" xfId="0" applyFont="1" applyFill="1" applyAlignment="1" applyProtection="1"/>
    <xf numFmtId="164" fontId="0" fillId="6" borderId="0" xfId="0" applyNumberFormat="1" applyFill="1" applyAlignment="1" applyProtection="1"/>
    <xf numFmtId="0" fontId="4" fillId="0" borderId="0" xfId="0" applyFont="1" applyAlignment="1" applyProtection="1"/>
    <xf numFmtId="0" fontId="4" fillId="7" borderId="0" xfId="0" applyFont="1" applyFill="1" applyAlignment="1" applyProtection="1"/>
    <xf numFmtId="0" fontId="4" fillId="5" borderId="0" xfId="0" applyFont="1" applyFill="1" applyAlignment="1" applyProtection="1"/>
    <xf numFmtId="164" fontId="0" fillId="5" borderId="0" xfId="0" applyNumberFormat="1" applyFill="1" applyAlignment="1" applyProtection="1"/>
    <xf numFmtId="165" fontId="0" fillId="0" borderId="0" xfId="0" applyNumberFormat="1" applyAlignment="1" applyProtection="1"/>
    <xf numFmtId="16" fontId="0" fillId="0" borderId="0" xfId="0" applyNumberFormat="1"/>
    <xf numFmtId="0" fontId="0" fillId="10" borderId="0" xfId="0" applyFont="1" applyFill="1" applyAlignment="1" applyProtection="1"/>
    <xf numFmtId="0" fontId="0" fillId="10" borderId="0" xfId="0" applyFont="1" applyFill="1"/>
    <xf numFmtId="0" fontId="1" fillId="0" borderId="0" xfId="1" applyProtection="1"/>
    <xf numFmtId="0" fontId="6" fillId="0" borderId="0" xfId="0" applyFont="1"/>
    <xf numFmtId="0" fontId="6" fillId="0" borderId="0" xfId="0" applyFont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0C0C0"/>
      <rgbColor rgb="FF808080"/>
      <rgbColor rgb="FF9999FF"/>
      <rgbColor rgb="FFA1467E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ED4C05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limirage3@gmail.com" TargetMode="External"/><Relationship Id="rId13" Type="http://schemas.openxmlformats.org/officeDocument/2006/relationships/hyperlink" Target="mailto:ven09130814@gmail.com" TargetMode="External"/><Relationship Id="rId18" Type="http://schemas.openxmlformats.org/officeDocument/2006/relationships/hyperlink" Target="mailto:Avionica-ciata@faa.mil.ar" TargetMode="External"/><Relationship Id="rId3" Type="http://schemas.openxmlformats.org/officeDocument/2006/relationships/hyperlink" Target="mailto:thiaguitolujan09@gmail.com" TargetMode="External"/><Relationship Id="rId7" Type="http://schemas.openxmlformats.org/officeDocument/2006/relationships/hyperlink" Target="mailto:arredondofacundo406@gmail.com" TargetMode="External"/><Relationship Id="rId12" Type="http://schemas.openxmlformats.org/officeDocument/2006/relationships/hyperlink" Target="mailto:tahiel.e.manrique@gmail.com" TargetMode="External"/><Relationship Id="rId17" Type="http://schemas.openxmlformats.org/officeDocument/2006/relationships/hyperlink" Target="https://plataforma.coparobotica.com/login?KJO-056" TargetMode="External"/><Relationship Id="rId2" Type="http://schemas.openxmlformats.org/officeDocument/2006/relationships/hyperlink" Target="mailto:palofariasruiz@gmail.com" TargetMode="External"/><Relationship Id="rId16" Type="http://schemas.openxmlformats.org/officeDocument/2006/relationships/hyperlink" Target="mailto:gcasas1972@gmail.com" TargetMode="External"/><Relationship Id="rId1" Type="http://schemas.openxmlformats.org/officeDocument/2006/relationships/hyperlink" Target="mailto:quiroruth1@gmail.com" TargetMode="External"/><Relationship Id="rId6" Type="http://schemas.openxmlformats.org/officeDocument/2006/relationships/hyperlink" Target="mailto:Ven09130814@gmail.com" TargetMode="External"/><Relationship Id="rId11" Type="http://schemas.openxmlformats.org/officeDocument/2006/relationships/hyperlink" Target="mailto:valentinluceroxd@gmail.com" TargetMode="External"/><Relationship Id="rId5" Type="http://schemas.openxmlformats.org/officeDocument/2006/relationships/hyperlink" Target="mailto:mateoprado2701@gmail.com" TargetMode="External"/><Relationship Id="rId15" Type="http://schemas.openxmlformats.org/officeDocument/2006/relationships/hyperlink" Target="mailto:gcasas1972@gmail.com" TargetMode="External"/><Relationship Id="rId10" Type="http://schemas.openxmlformats.org/officeDocument/2006/relationships/hyperlink" Target="mailto:mateobautistalescano123@gmail.com" TargetMode="External"/><Relationship Id="rId4" Type="http://schemas.openxmlformats.org/officeDocument/2006/relationships/hyperlink" Target="mailto:benicio.luna11@gmail.com" TargetMode="External"/><Relationship Id="rId9" Type="http://schemas.openxmlformats.org/officeDocument/2006/relationships/hyperlink" Target="mailto:punaxs31@gmail.com" TargetMode="External"/><Relationship Id="rId14" Type="http://schemas.openxmlformats.org/officeDocument/2006/relationships/hyperlink" Target="mailto:ezequielzapatasantos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60"/>
  <sheetViews>
    <sheetView topLeftCell="A16" zoomScaleNormal="100" workbookViewId="0">
      <selection activeCell="D51" sqref="D51"/>
    </sheetView>
  </sheetViews>
  <sheetFormatPr baseColWidth="10" defaultColWidth="11.5703125" defaultRowHeight="12.75" x14ac:dyDescent="0.2"/>
  <cols>
    <col min="1" max="1" width="4" style="1" customWidth="1"/>
    <col min="2" max="2" width="24.140625" style="1" customWidth="1"/>
    <col min="3" max="3" width="20.5703125" style="1" customWidth="1"/>
    <col min="4" max="4" width="10" style="1" customWidth="1"/>
    <col min="5" max="5" width="25.140625" style="1" customWidth="1"/>
    <col min="6" max="6" width="32.140625" style="1" customWidth="1"/>
    <col min="7" max="7" width="17.85546875" style="1" customWidth="1"/>
    <col min="10" max="10" width="71.140625" style="1" customWidth="1"/>
  </cols>
  <sheetData>
    <row r="1" spans="1:77" x14ac:dyDescent="0.2">
      <c r="B1" s="1" t="s">
        <v>0</v>
      </c>
      <c r="L1" s="1" t="s">
        <v>1</v>
      </c>
    </row>
    <row r="2" spans="1:77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2">
        <v>46142</v>
      </c>
    </row>
    <row r="3" spans="1:77" s="8" customFormat="1" x14ac:dyDescent="0.2">
      <c r="A3" s="3">
        <v>3</v>
      </c>
      <c r="B3" s="4" t="s">
        <v>14</v>
      </c>
      <c r="C3" s="3" t="s">
        <v>15</v>
      </c>
      <c r="D3" s="3">
        <v>50717603</v>
      </c>
      <c r="E3" s="3"/>
      <c r="F3" s="5" t="s">
        <v>16</v>
      </c>
      <c r="G3" s="6">
        <v>40505</v>
      </c>
      <c r="H3" s="4" t="s">
        <v>17</v>
      </c>
      <c r="I3" s="4" t="s">
        <v>18</v>
      </c>
      <c r="J3" s="4" t="s">
        <v>19</v>
      </c>
      <c r="K3" s="3" t="s">
        <v>20</v>
      </c>
      <c r="L3" s="3" t="s">
        <v>21</v>
      </c>
      <c r="M3" s="7" t="s">
        <v>22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</row>
    <row r="4" spans="1:77" s="13" customFormat="1" x14ac:dyDescent="0.2">
      <c r="A4" s="3">
        <v>10</v>
      </c>
      <c r="B4" s="3" t="s">
        <v>94</v>
      </c>
      <c r="C4" s="3" t="s">
        <v>95</v>
      </c>
      <c r="D4" s="5">
        <v>50658293</v>
      </c>
      <c r="E4" s="5"/>
      <c r="F4" s="30" t="s">
        <v>96</v>
      </c>
      <c r="G4" s="31" t="s">
        <v>97</v>
      </c>
      <c r="H4" s="4" t="s">
        <v>17</v>
      </c>
      <c r="I4" s="4" t="s">
        <v>18</v>
      </c>
      <c r="J4" s="3"/>
      <c r="K4" s="3" t="s">
        <v>20</v>
      </c>
      <c r="L4" s="3" t="s">
        <v>21</v>
      </c>
      <c r="M4" s="7" t="s">
        <v>22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</row>
    <row r="5" spans="1:77" s="3" customFormat="1" x14ac:dyDescent="0.2">
      <c r="A5" s="3">
        <v>28</v>
      </c>
      <c r="B5" s="5" t="s">
        <v>100</v>
      </c>
      <c r="C5" s="5" t="s">
        <v>101</v>
      </c>
      <c r="D5" s="5">
        <v>95622238</v>
      </c>
      <c r="F5" s="5" t="s">
        <v>102</v>
      </c>
      <c r="G5" s="31" t="s">
        <v>103</v>
      </c>
      <c r="H5" s="3" t="s">
        <v>38</v>
      </c>
      <c r="I5" s="3" t="s">
        <v>18</v>
      </c>
      <c r="K5" s="3" t="s">
        <v>20</v>
      </c>
      <c r="L5" s="3" t="s">
        <v>21</v>
      </c>
      <c r="M5" s="7" t="s">
        <v>22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</row>
    <row r="6" spans="1:77" s="14" customFormat="1" x14ac:dyDescent="0.2">
      <c r="A6" s="3">
        <v>12</v>
      </c>
      <c r="B6" s="4" t="s">
        <v>104</v>
      </c>
      <c r="C6" s="3" t="s">
        <v>105</v>
      </c>
      <c r="D6" s="3">
        <v>50717565</v>
      </c>
      <c r="E6" s="3"/>
      <c r="F6" s="33" t="s">
        <v>106</v>
      </c>
      <c r="G6" s="6">
        <v>40506</v>
      </c>
      <c r="H6" s="4" t="s">
        <v>17</v>
      </c>
      <c r="I6" s="4" t="s">
        <v>18</v>
      </c>
      <c r="J6" s="3"/>
      <c r="K6" s="3" t="s">
        <v>20</v>
      </c>
      <c r="L6" s="3" t="s">
        <v>21</v>
      </c>
      <c r="M6" s="7" t="s">
        <v>22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</row>
    <row r="7" spans="1:77" x14ac:dyDescent="0.2">
      <c r="A7" s="34">
        <v>29</v>
      </c>
      <c r="B7" s="5" t="s">
        <v>125</v>
      </c>
      <c r="C7" s="5" t="s">
        <v>126</v>
      </c>
      <c r="D7" s="5">
        <v>50353508</v>
      </c>
      <c r="E7" s="3"/>
      <c r="F7" s="5" t="s">
        <v>127</v>
      </c>
      <c r="G7" s="31" t="s">
        <v>128</v>
      </c>
      <c r="H7" s="3" t="s">
        <v>38</v>
      </c>
      <c r="I7" s="3" t="s">
        <v>18</v>
      </c>
      <c r="J7" s="3"/>
      <c r="K7" s="3" t="s">
        <v>20</v>
      </c>
      <c r="L7" s="3" t="s">
        <v>21</v>
      </c>
      <c r="M7" s="7" t="s">
        <v>22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</row>
    <row r="8" spans="1:77" s="18" customFormat="1" ht="15" x14ac:dyDescent="0.25">
      <c r="A8" s="8">
        <v>1</v>
      </c>
      <c r="B8" s="8" t="s">
        <v>71</v>
      </c>
      <c r="C8" s="8" t="s">
        <v>72</v>
      </c>
      <c r="D8" s="8">
        <v>49810411</v>
      </c>
      <c r="E8" s="8"/>
      <c r="F8" s="27" t="s">
        <v>73</v>
      </c>
      <c r="G8" s="8"/>
      <c r="H8" s="8" t="s">
        <v>38</v>
      </c>
      <c r="I8" s="8" t="s">
        <v>18</v>
      </c>
      <c r="J8" s="8" t="s">
        <v>74</v>
      </c>
      <c r="K8" s="12" t="s">
        <v>26</v>
      </c>
      <c r="L8" s="11" t="s">
        <v>27</v>
      </c>
      <c r="M8" s="7" t="s">
        <v>22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</row>
    <row r="9" spans="1:77" s="20" customFormat="1" ht="15" x14ac:dyDescent="0.25">
      <c r="A9" s="8">
        <v>9</v>
      </c>
      <c r="B9" s="8" t="s">
        <v>23</v>
      </c>
      <c r="C9" s="8" t="s">
        <v>24</v>
      </c>
      <c r="D9" s="8">
        <v>50507317</v>
      </c>
      <c r="E9" s="8"/>
      <c r="F9" s="9" t="s">
        <v>25</v>
      </c>
      <c r="G9" s="10">
        <v>40375</v>
      </c>
      <c r="H9" s="11" t="s">
        <v>17</v>
      </c>
      <c r="I9" s="11" t="s">
        <v>18</v>
      </c>
      <c r="J9" s="8"/>
      <c r="K9" s="12" t="s">
        <v>26</v>
      </c>
      <c r="L9" s="11" t="s">
        <v>27</v>
      </c>
      <c r="M9" s="7" t="s">
        <v>22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</row>
    <row r="10" spans="1:77" s="8" customFormat="1" ht="15" x14ac:dyDescent="0.25">
      <c r="A10" s="8">
        <v>15</v>
      </c>
      <c r="B10" s="8" t="s">
        <v>111</v>
      </c>
      <c r="C10" s="8" t="s">
        <v>57</v>
      </c>
      <c r="D10" s="8">
        <v>50686604</v>
      </c>
      <c r="F10" s="9" t="s">
        <v>112</v>
      </c>
      <c r="H10" s="8" t="s">
        <v>17</v>
      </c>
      <c r="I10" s="8" t="s">
        <v>18</v>
      </c>
      <c r="K10" s="12" t="s">
        <v>26</v>
      </c>
      <c r="L10" s="11" t="s">
        <v>27</v>
      </c>
      <c r="M10" s="7" t="s">
        <v>22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</row>
    <row r="11" spans="1:77" s="3" customFormat="1" ht="15" x14ac:dyDescent="0.25">
      <c r="A11" s="8">
        <v>20</v>
      </c>
      <c r="B11" s="8" t="s">
        <v>117</v>
      </c>
      <c r="C11" s="8" t="s">
        <v>118</v>
      </c>
      <c r="D11" s="8">
        <v>50276004</v>
      </c>
      <c r="E11" s="8"/>
      <c r="F11" s="9" t="s">
        <v>119</v>
      </c>
      <c r="G11" s="8"/>
      <c r="H11" s="8" t="s">
        <v>38</v>
      </c>
      <c r="I11" s="8" t="s">
        <v>18</v>
      </c>
      <c r="J11" s="8" t="s">
        <v>120</v>
      </c>
      <c r="K11" s="12" t="s">
        <v>26</v>
      </c>
      <c r="L11" s="11" t="s">
        <v>27</v>
      </c>
      <c r="M11" s="7" t="s">
        <v>22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</row>
    <row r="12" spans="1:77" s="14" customFormat="1" ht="15" x14ac:dyDescent="0.25">
      <c r="A12" s="8">
        <v>22</v>
      </c>
      <c r="B12" s="8" t="s">
        <v>56</v>
      </c>
      <c r="C12" s="8" t="s">
        <v>57</v>
      </c>
      <c r="D12" s="8"/>
      <c r="E12" s="8"/>
      <c r="F12" s="9" t="s">
        <v>58</v>
      </c>
      <c r="G12" s="8"/>
      <c r="H12" s="8" t="s">
        <v>38</v>
      </c>
      <c r="I12" s="11" t="s">
        <v>18</v>
      </c>
      <c r="J12" s="8"/>
      <c r="K12" s="12" t="s">
        <v>26</v>
      </c>
      <c r="L12" s="11" t="s">
        <v>27</v>
      </c>
      <c r="M12" s="7" t="s">
        <v>22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</row>
    <row r="13" spans="1:77" s="3" customFormat="1" x14ac:dyDescent="0.2">
      <c r="A13" s="13">
        <v>2</v>
      </c>
      <c r="B13" s="13" t="s">
        <v>75</v>
      </c>
      <c r="C13" s="13" t="s">
        <v>76</v>
      </c>
      <c r="D13" s="13">
        <v>49521627</v>
      </c>
      <c r="E13" s="13"/>
      <c r="F13" s="13" t="s">
        <v>77</v>
      </c>
      <c r="G13" s="28">
        <v>39961</v>
      </c>
      <c r="H13" s="13" t="s">
        <v>78</v>
      </c>
      <c r="I13" s="13" t="s">
        <v>18</v>
      </c>
      <c r="J13" s="13"/>
      <c r="K13" s="13" t="s">
        <v>62</v>
      </c>
      <c r="L13" s="13" t="s">
        <v>63</v>
      </c>
      <c r="M13" s="7" t="s">
        <v>22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</row>
    <row r="14" spans="1:77" s="14" customFormat="1" x14ac:dyDescent="0.2">
      <c r="A14" s="13">
        <v>32</v>
      </c>
      <c r="B14" s="23" t="s">
        <v>59</v>
      </c>
      <c r="C14" s="23" t="s">
        <v>60</v>
      </c>
      <c r="D14" s="23">
        <v>49521904</v>
      </c>
      <c r="E14" s="13"/>
      <c r="F14" s="23" t="s">
        <v>61</v>
      </c>
      <c r="G14" s="24">
        <v>40038</v>
      </c>
      <c r="H14" s="13" t="s">
        <v>38</v>
      </c>
      <c r="I14" s="13" t="s">
        <v>18</v>
      </c>
      <c r="J14" s="13"/>
      <c r="K14" s="13" t="s">
        <v>62</v>
      </c>
      <c r="L14" s="13" t="s">
        <v>63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</row>
    <row r="15" spans="1:77" s="14" customFormat="1" x14ac:dyDescent="0.2">
      <c r="A15" s="13">
        <v>23</v>
      </c>
      <c r="B15" s="13" t="s">
        <v>129</v>
      </c>
      <c r="C15" s="13" t="s">
        <v>130</v>
      </c>
      <c r="D15" s="13">
        <v>49626775</v>
      </c>
      <c r="E15" s="13"/>
      <c r="F15" s="35" t="s">
        <v>131</v>
      </c>
      <c r="G15" s="28">
        <v>40065</v>
      </c>
      <c r="H15" s="36" t="s">
        <v>53</v>
      </c>
      <c r="I15" s="36" t="s">
        <v>18</v>
      </c>
      <c r="J15" s="13"/>
      <c r="K15" s="13" t="s">
        <v>62</v>
      </c>
      <c r="L15" s="13" t="s">
        <v>63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</row>
    <row r="16" spans="1:77" s="8" customFormat="1" x14ac:dyDescent="0.2">
      <c r="A16" s="13">
        <v>24</v>
      </c>
      <c r="B16" s="13" t="s">
        <v>132</v>
      </c>
      <c r="C16" s="13" t="s">
        <v>133</v>
      </c>
      <c r="D16" s="13">
        <v>50490163</v>
      </c>
      <c r="E16" s="13"/>
      <c r="F16" s="23" t="s">
        <v>134</v>
      </c>
      <c r="G16" s="25" t="s">
        <v>135</v>
      </c>
      <c r="H16" s="13" t="s">
        <v>17</v>
      </c>
      <c r="I16" s="13" t="s">
        <v>18</v>
      </c>
      <c r="J16" s="13"/>
      <c r="K16" s="13" t="s">
        <v>62</v>
      </c>
      <c r="L16" s="13" t="s">
        <v>63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</row>
    <row r="17" spans="1:77" s="18" customFormat="1" x14ac:dyDescent="0.2">
      <c r="A17" s="13">
        <v>33</v>
      </c>
      <c r="B17" s="23" t="s">
        <v>64</v>
      </c>
      <c r="C17" s="23" t="s">
        <v>65</v>
      </c>
      <c r="D17" s="23">
        <v>48183416</v>
      </c>
      <c r="E17" s="13"/>
      <c r="F17" s="23" t="s">
        <v>66</v>
      </c>
      <c r="G17" s="25" t="s">
        <v>67</v>
      </c>
      <c r="H17" s="13" t="s">
        <v>68</v>
      </c>
      <c r="I17" s="13" t="s">
        <v>18</v>
      </c>
      <c r="J17" s="13"/>
      <c r="K17" s="13" t="s">
        <v>62</v>
      </c>
      <c r="L17" s="13" t="s">
        <v>63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</row>
    <row r="18" spans="1:77" s="18" customFormat="1" x14ac:dyDescent="0.2">
      <c r="A18" s="18">
        <v>7</v>
      </c>
      <c r="B18" s="18" t="s">
        <v>87</v>
      </c>
      <c r="C18" s="18" t="s">
        <v>88</v>
      </c>
      <c r="D18" s="18">
        <v>50276187</v>
      </c>
      <c r="F18" s="19" t="s">
        <v>89</v>
      </c>
      <c r="H18" s="18" t="s">
        <v>53</v>
      </c>
      <c r="I18" s="18" t="s">
        <v>18</v>
      </c>
      <c r="K18" s="18" t="s">
        <v>44</v>
      </c>
      <c r="L18" s="18" t="s">
        <v>45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</row>
    <row r="19" spans="1:77" s="18" customFormat="1" x14ac:dyDescent="0.2">
      <c r="A19" s="18">
        <v>16</v>
      </c>
      <c r="B19" s="18" t="s">
        <v>113</v>
      </c>
      <c r="C19" s="18" t="s">
        <v>114</v>
      </c>
      <c r="D19" s="18">
        <v>49602531</v>
      </c>
      <c r="F19" s="19" t="s">
        <v>115</v>
      </c>
      <c r="H19" s="18" t="s">
        <v>38</v>
      </c>
      <c r="I19" s="18" t="s">
        <v>18</v>
      </c>
      <c r="J19" s="18" t="s">
        <v>116</v>
      </c>
      <c r="K19" s="18" t="s">
        <v>44</v>
      </c>
      <c r="L19" s="18" t="s">
        <v>45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</row>
    <row r="20" spans="1:77" s="20" customFormat="1" x14ac:dyDescent="0.2">
      <c r="A20" s="18">
        <v>17</v>
      </c>
      <c r="B20" s="18" t="s">
        <v>40</v>
      </c>
      <c r="C20" s="18" t="s">
        <v>41</v>
      </c>
      <c r="D20" s="18">
        <v>49927919</v>
      </c>
      <c r="E20" s="18"/>
      <c r="F20" s="19" t="s">
        <v>42</v>
      </c>
      <c r="G20" s="18"/>
      <c r="H20" s="18" t="s">
        <v>38</v>
      </c>
      <c r="I20" s="18" t="s">
        <v>18</v>
      </c>
      <c r="J20" s="18" t="s">
        <v>43</v>
      </c>
      <c r="K20" s="18" t="s">
        <v>44</v>
      </c>
      <c r="L20" s="18" t="s">
        <v>45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</row>
    <row r="21" spans="1:77" s="8" customFormat="1" x14ac:dyDescent="0.2">
      <c r="A21" s="18">
        <v>18</v>
      </c>
      <c r="B21" s="18" t="s">
        <v>46</v>
      </c>
      <c r="C21" s="18" t="s">
        <v>47</v>
      </c>
      <c r="D21" s="18">
        <v>50987882</v>
      </c>
      <c r="E21" s="18"/>
      <c r="F21" s="19" t="s">
        <v>48</v>
      </c>
      <c r="G21" s="18"/>
      <c r="H21" s="18" t="s">
        <v>17</v>
      </c>
      <c r="I21" s="18" t="s">
        <v>18</v>
      </c>
      <c r="J21" s="18"/>
      <c r="K21" s="18" t="s">
        <v>44</v>
      </c>
      <c r="L21" s="18" t="s">
        <v>45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</row>
    <row r="22" spans="1:77" s="14" customFormat="1" x14ac:dyDescent="0.2">
      <c r="A22" s="18">
        <v>27</v>
      </c>
      <c r="B22" s="18" t="s">
        <v>139</v>
      </c>
      <c r="C22" s="18" t="s">
        <v>140</v>
      </c>
      <c r="D22" s="18"/>
      <c r="E22" s="18"/>
      <c r="F22" s="19" t="s">
        <v>141</v>
      </c>
      <c r="G22" s="18"/>
      <c r="H22" s="18" t="s">
        <v>17</v>
      </c>
      <c r="I22" s="18"/>
      <c r="J22" s="18"/>
      <c r="K22" s="18" t="s">
        <v>44</v>
      </c>
      <c r="L22" s="18" t="s">
        <v>45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</row>
    <row r="23" spans="1:77" s="8" customFormat="1" x14ac:dyDescent="0.2">
      <c r="A23" s="20">
        <v>6</v>
      </c>
      <c r="B23" s="20" t="s">
        <v>84</v>
      </c>
      <c r="C23" s="20" t="s">
        <v>85</v>
      </c>
      <c r="D23" s="20">
        <v>49001269</v>
      </c>
      <c r="E23" s="20"/>
      <c r="F23" s="20" t="s">
        <v>86</v>
      </c>
      <c r="G23" s="26">
        <v>39805</v>
      </c>
      <c r="H23" s="20" t="s">
        <v>78</v>
      </c>
      <c r="I23" s="20" t="s">
        <v>18</v>
      </c>
      <c r="J23" s="20"/>
      <c r="K23" s="20" t="s">
        <v>54</v>
      </c>
      <c r="L23" s="20" t="s">
        <v>55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</row>
    <row r="24" spans="1:77" s="13" customFormat="1" x14ac:dyDescent="0.2">
      <c r="A24" s="20">
        <v>8</v>
      </c>
      <c r="B24" s="20" t="s">
        <v>90</v>
      </c>
      <c r="C24" s="20" t="s">
        <v>91</v>
      </c>
      <c r="D24" s="20">
        <v>49419297</v>
      </c>
      <c r="E24" s="20"/>
      <c r="F24" s="21" t="s">
        <v>92</v>
      </c>
      <c r="G24" s="22" t="s">
        <v>93</v>
      </c>
      <c r="H24" s="20" t="s">
        <v>53</v>
      </c>
      <c r="I24" s="20" t="s">
        <v>18</v>
      </c>
      <c r="J24" s="20"/>
      <c r="K24" s="20" t="s">
        <v>54</v>
      </c>
      <c r="L24" s="20" t="s">
        <v>55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</row>
    <row r="25" spans="1:77" s="13" customFormat="1" x14ac:dyDescent="0.2">
      <c r="A25" s="20">
        <v>19</v>
      </c>
      <c r="B25" s="20" t="s">
        <v>49</v>
      </c>
      <c r="C25" s="20" t="s">
        <v>50</v>
      </c>
      <c r="D25" s="20">
        <v>4973505</v>
      </c>
      <c r="E25" s="20"/>
      <c r="F25" s="21" t="s">
        <v>51</v>
      </c>
      <c r="G25" s="22" t="s">
        <v>52</v>
      </c>
      <c r="H25" s="20" t="s">
        <v>53</v>
      </c>
      <c r="I25" s="20" t="s">
        <v>18</v>
      </c>
      <c r="J25" s="20"/>
      <c r="K25" s="20" t="s">
        <v>54</v>
      </c>
      <c r="L25" s="20" t="s">
        <v>55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</row>
    <row r="26" spans="1:77" s="20" customFormat="1" x14ac:dyDescent="0.2">
      <c r="A26" s="20">
        <v>25</v>
      </c>
      <c r="B26" s="20" t="s">
        <v>64</v>
      </c>
      <c r="C26" s="20" t="s">
        <v>69</v>
      </c>
      <c r="D26" s="20">
        <v>50141365</v>
      </c>
      <c r="F26" s="20" t="s">
        <v>70</v>
      </c>
      <c r="G26" s="26">
        <v>40258</v>
      </c>
      <c r="H26" s="20" t="s">
        <v>53</v>
      </c>
      <c r="I26" s="20" t="s">
        <v>18</v>
      </c>
      <c r="K26" s="20" t="s">
        <v>54</v>
      </c>
      <c r="L26" s="20" t="s">
        <v>55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</row>
    <row r="27" spans="1:77" s="20" customFormat="1" x14ac:dyDescent="0.2">
      <c r="A27" s="20">
        <v>26</v>
      </c>
      <c r="B27" s="20" t="s">
        <v>136</v>
      </c>
      <c r="C27" s="20" t="s">
        <v>137</v>
      </c>
      <c r="D27" s="20">
        <v>49676632</v>
      </c>
      <c r="F27" s="21" t="s">
        <v>138</v>
      </c>
      <c r="G27" s="37">
        <v>40032</v>
      </c>
      <c r="H27" s="20" t="s">
        <v>38</v>
      </c>
      <c r="I27" s="20" t="s">
        <v>18</v>
      </c>
      <c r="K27" s="20" t="s">
        <v>54</v>
      </c>
      <c r="L27" s="38" t="s">
        <v>55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</row>
    <row r="28" spans="1:77" s="18" customFormat="1" x14ac:dyDescent="0.2">
      <c r="A28" s="14">
        <v>4</v>
      </c>
      <c r="B28" s="14" t="s">
        <v>79</v>
      </c>
      <c r="C28" s="14" t="s">
        <v>80</v>
      </c>
      <c r="D28" s="14">
        <v>50256549</v>
      </c>
      <c r="E28" s="14"/>
      <c r="F28" s="29" t="s">
        <v>81</v>
      </c>
      <c r="G28" s="17" t="s">
        <v>82</v>
      </c>
      <c r="H28" s="14" t="s">
        <v>38</v>
      </c>
      <c r="I28" s="14" t="s">
        <v>18</v>
      </c>
      <c r="J28" s="14" t="s">
        <v>83</v>
      </c>
      <c r="K28" s="14" t="s">
        <v>32</v>
      </c>
      <c r="L28" s="14" t="s">
        <v>33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</row>
    <row r="29" spans="1:77" s="3" customFormat="1" ht="14.85" customHeight="1" x14ac:dyDescent="0.2">
      <c r="A29" s="14">
        <v>11</v>
      </c>
      <c r="B29" s="32" t="s">
        <v>98</v>
      </c>
      <c r="C29" s="14" t="s">
        <v>99</v>
      </c>
      <c r="D29" s="14">
        <v>49960662</v>
      </c>
      <c r="E29" s="14"/>
      <c r="F29" s="15" t="s">
        <v>30</v>
      </c>
      <c r="G29" s="17" t="s">
        <v>31</v>
      </c>
      <c r="H29" s="32" t="s">
        <v>38</v>
      </c>
      <c r="I29" s="32" t="s">
        <v>18</v>
      </c>
      <c r="J29" s="14"/>
      <c r="K29" s="14" t="s">
        <v>20</v>
      </c>
      <c r="L29" s="14" t="s">
        <v>33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</row>
    <row r="30" spans="1:77" s="3" customFormat="1" ht="14.85" customHeight="1" x14ac:dyDescent="0.2">
      <c r="A30" s="14">
        <v>31</v>
      </c>
      <c r="B30" s="15" t="s">
        <v>28</v>
      </c>
      <c r="C30" s="15" t="s">
        <v>29</v>
      </c>
      <c r="D30" s="15">
        <v>50981123</v>
      </c>
      <c r="E30" s="14"/>
      <c r="F30" s="16" t="s">
        <v>30</v>
      </c>
      <c r="G30" s="17" t="s">
        <v>31</v>
      </c>
      <c r="H30" s="14" t="s">
        <v>17</v>
      </c>
      <c r="I30" s="14" t="s">
        <v>18</v>
      </c>
      <c r="J30" s="14"/>
      <c r="K30" s="14" t="s">
        <v>32</v>
      </c>
      <c r="L30" s="14" t="s">
        <v>33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</row>
    <row r="31" spans="1:77" s="14" customFormat="1" ht="14.85" customHeight="1" x14ac:dyDescent="0.2">
      <c r="A31" s="14">
        <v>13</v>
      </c>
      <c r="B31" s="14" t="s">
        <v>34</v>
      </c>
      <c r="C31" s="14" t="s">
        <v>35</v>
      </c>
      <c r="D31" s="14">
        <v>50142917</v>
      </c>
      <c r="F31" s="15" t="s">
        <v>36</v>
      </c>
      <c r="G31" s="17" t="s">
        <v>37</v>
      </c>
      <c r="H31" s="14" t="s">
        <v>38</v>
      </c>
      <c r="I31" s="14" t="s">
        <v>18</v>
      </c>
      <c r="J31" s="14" t="s">
        <v>39</v>
      </c>
      <c r="K31" s="14" t="s">
        <v>32</v>
      </c>
      <c r="L31" s="14" t="s">
        <v>33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</row>
    <row r="32" spans="1:77" s="13" customFormat="1" ht="14.85" customHeight="1" x14ac:dyDescent="0.2">
      <c r="A32" s="14">
        <v>14</v>
      </c>
      <c r="B32" s="14" t="s">
        <v>107</v>
      </c>
      <c r="C32" s="14" t="s">
        <v>108</v>
      </c>
      <c r="D32" s="14">
        <v>50656018</v>
      </c>
      <c r="E32" s="14"/>
      <c r="F32" s="15" t="s">
        <v>109</v>
      </c>
      <c r="G32" s="17" t="s">
        <v>110</v>
      </c>
      <c r="H32" s="14" t="s">
        <v>17</v>
      </c>
      <c r="I32" s="14" t="s">
        <v>18</v>
      </c>
      <c r="J32" s="14"/>
      <c r="K32" s="14" t="s">
        <v>32</v>
      </c>
      <c r="L32" s="14" t="s">
        <v>33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</row>
    <row r="33" spans="1:77" s="13" customFormat="1" ht="14.85" customHeight="1" x14ac:dyDescent="0.2">
      <c r="A33" s="14">
        <v>21</v>
      </c>
      <c r="B33" s="14" t="s">
        <v>121</v>
      </c>
      <c r="C33" s="14" t="s">
        <v>122</v>
      </c>
      <c r="D33" s="14">
        <v>49804684</v>
      </c>
      <c r="E33" s="14"/>
      <c r="F33" s="15" t="s">
        <v>123</v>
      </c>
      <c r="G33" s="17" t="s">
        <v>124</v>
      </c>
      <c r="H33" s="14" t="s">
        <v>38</v>
      </c>
      <c r="I33" s="14" t="s">
        <v>18</v>
      </c>
      <c r="J33" s="14"/>
      <c r="K33" s="14" t="s">
        <v>32</v>
      </c>
      <c r="L33" s="14" t="s">
        <v>33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</row>
    <row r="34" spans="1:77" ht="14.85" customHeight="1" x14ac:dyDescent="0.2">
      <c r="B34" s="39"/>
      <c r="C34" s="39"/>
      <c r="D34" s="39"/>
      <c r="F34" s="39"/>
      <c r="G34" s="40"/>
      <c r="M34" s="1">
        <f>COUNTIF(M3:M33,"P")</f>
        <v>11</v>
      </c>
    </row>
    <row r="37" spans="1:77" x14ac:dyDescent="0.2">
      <c r="B37" s="1" t="s">
        <v>142</v>
      </c>
    </row>
    <row r="38" spans="1:77" x14ac:dyDescent="0.2">
      <c r="B38" s="1" t="s">
        <v>3</v>
      </c>
      <c r="C38" s="1" t="s">
        <v>4</v>
      </c>
      <c r="D38" s="1" t="s">
        <v>5</v>
      </c>
      <c r="F38" s="1" t="s">
        <v>143</v>
      </c>
      <c r="G38" s="1" t="s">
        <v>8</v>
      </c>
    </row>
    <row r="39" spans="1:77" x14ac:dyDescent="0.2">
      <c r="A39" s="1">
        <v>1</v>
      </c>
      <c r="B39" s="1" t="s">
        <v>144</v>
      </c>
      <c r="C39" s="1" t="s">
        <v>145</v>
      </c>
      <c r="D39" s="1">
        <v>21491938</v>
      </c>
      <c r="F39" s="1" t="s">
        <v>146</v>
      </c>
      <c r="G39" s="2">
        <v>25749</v>
      </c>
    </row>
    <row r="40" spans="1:77" s="3" customFormat="1" x14ac:dyDescent="0.2">
      <c r="A40" s="3">
        <v>2</v>
      </c>
      <c r="B40" s="3" t="s">
        <v>147</v>
      </c>
      <c r="C40" s="3" t="s">
        <v>148</v>
      </c>
      <c r="D40" s="3">
        <v>23887042</v>
      </c>
      <c r="F40" s="30" t="s">
        <v>149</v>
      </c>
      <c r="G40" s="6">
        <v>27085</v>
      </c>
      <c r="Q40" s="1"/>
      <c r="R40" s="1"/>
    </row>
    <row r="41" spans="1:77" s="8" customFormat="1" x14ac:dyDescent="0.2">
      <c r="A41" s="8">
        <v>3</v>
      </c>
      <c r="B41" s="8" t="s">
        <v>27</v>
      </c>
      <c r="C41" s="8" t="s">
        <v>150</v>
      </c>
      <c r="D41" s="8">
        <v>22965726</v>
      </c>
      <c r="F41" s="27" t="s">
        <v>151</v>
      </c>
      <c r="G41" s="10">
        <v>26620</v>
      </c>
      <c r="Q41" s="1"/>
      <c r="R41" s="1"/>
    </row>
    <row r="42" spans="1:77" s="41" customFormat="1" x14ac:dyDescent="0.2">
      <c r="A42" s="41">
        <v>4</v>
      </c>
      <c r="B42" s="42" t="s">
        <v>63</v>
      </c>
      <c r="C42" s="41" t="s">
        <v>152</v>
      </c>
      <c r="D42" s="41">
        <v>34576597</v>
      </c>
      <c r="F42" s="43" t="s">
        <v>153</v>
      </c>
      <c r="G42" s="44">
        <v>32683</v>
      </c>
      <c r="Q42" s="1"/>
      <c r="R42" s="1"/>
    </row>
    <row r="43" spans="1:77" s="18" customFormat="1" x14ac:dyDescent="0.2">
      <c r="A43" s="18">
        <v>5</v>
      </c>
      <c r="B43" s="18" t="s">
        <v>154</v>
      </c>
      <c r="C43" s="18" t="s">
        <v>155</v>
      </c>
      <c r="D43" s="18">
        <v>40090104</v>
      </c>
      <c r="F43" s="45" t="s">
        <v>156</v>
      </c>
      <c r="G43" s="46">
        <v>35478</v>
      </c>
      <c r="Q43" s="1"/>
      <c r="R43" s="1"/>
    </row>
    <row r="44" spans="1:77" x14ac:dyDescent="0.2">
      <c r="A44" s="1">
        <v>6</v>
      </c>
      <c r="B44" s="1" t="s">
        <v>157</v>
      </c>
      <c r="C44" s="1" t="s">
        <v>158</v>
      </c>
      <c r="D44" s="1">
        <v>45465583</v>
      </c>
      <c r="F44" s="47" t="s">
        <v>159</v>
      </c>
      <c r="G44" s="2">
        <v>29268</v>
      </c>
    </row>
    <row r="45" spans="1:77" s="20" customFormat="1" x14ac:dyDescent="0.2">
      <c r="A45" s="20">
        <v>7</v>
      </c>
      <c r="B45" s="20" t="s">
        <v>55</v>
      </c>
      <c r="C45" s="20" t="s">
        <v>160</v>
      </c>
      <c r="D45" s="20">
        <v>26971538</v>
      </c>
      <c r="F45" s="48" t="s">
        <v>161</v>
      </c>
      <c r="G45" s="26">
        <v>28784</v>
      </c>
      <c r="Q45" s="1"/>
      <c r="R45" s="1"/>
    </row>
    <row r="46" spans="1:77" s="14" customFormat="1" x14ac:dyDescent="0.2">
      <c r="A46" s="14">
        <v>8</v>
      </c>
      <c r="B46" s="14" t="s">
        <v>33</v>
      </c>
      <c r="C46" s="14" t="s">
        <v>162</v>
      </c>
      <c r="D46" s="14">
        <v>36735810</v>
      </c>
      <c r="F46" s="49" t="s">
        <v>163</v>
      </c>
      <c r="G46" s="50">
        <v>33635</v>
      </c>
      <c r="Q46" s="1"/>
      <c r="R46" s="1"/>
    </row>
    <row r="47" spans="1:77" x14ac:dyDescent="0.2">
      <c r="A47" s="1">
        <v>9</v>
      </c>
      <c r="B47" s="1" t="s">
        <v>164</v>
      </c>
      <c r="C47" s="1" t="s">
        <v>165</v>
      </c>
      <c r="D47" s="1">
        <v>27925268</v>
      </c>
      <c r="F47" s="47" t="s">
        <v>166</v>
      </c>
      <c r="G47" s="2">
        <v>29268</v>
      </c>
    </row>
    <row r="48" spans="1:77" x14ac:dyDescent="0.2">
      <c r="A48" s="1">
        <v>10</v>
      </c>
      <c r="B48" s="1" t="s">
        <v>167</v>
      </c>
      <c r="C48" s="1" t="s">
        <v>80</v>
      </c>
      <c r="D48" s="1">
        <v>41835642</v>
      </c>
      <c r="F48" s="47" t="s">
        <v>168</v>
      </c>
      <c r="G48" s="2">
        <v>36262</v>
      </c>
    </row>
    <row r="49" spans="1:9" x14ac:dyDescent="0.2">
      <c r="G49" s="2"/>
    </row>
    <row r="50" spans="1:9" x14ac:dyDescent="0.2">
      <c r="A50" s="1" t="s">
        <v>169</v>
      </c>
      <c r="B50" s="55" t="s">
        <v>170</v>
      </c>
      <c r="G50" s="2"/>
    </row>
    <row r="51" spans="1:9" x14ac:dyDescent="0.2">
      <c r="A51" s="1" t="s">
        <v>171</v>
      </c>
      <c r="B51" s="1" t="s">
        <v>172</v>
      </c>
      <c r="C51" s="1" t="s">
        <v>173</v>
      </c>
      <c r="D51" s="1" t="s">
        <v>174</v>
      </c>
    </row>
    <row r="52" spans="1:9" x14ac:dyDescent="0.2">
      <c r="A52" s="1" t="s">
        <v>175</v>
      </c>
      <c r="B52" s="55" t="s">
        <v>176</v>
      </c>
      <c r="C52" s="1" t="s">
        <v>177</v>
      </c>
      <c r="I52" s="7" t="s">
        <v>178</v>
      </c>
    </row>
    <row r="54" spans="1:9" x14ac:dyDescent="0.2">
      <c r="A54" s="1" t="s">
        <v>175</v>
      </c>
      <c r="B54" s="47" t="s">
        <v>151</v>
      </c>
    </row>
    <row r="55" spans="1:9" x14ac:dyDescent="0.2">
      <c r="A55" s="1" t="s">
        <v>179</v>
      </c>
      <c r="B55" s="7" t="s">
        <v>174</v>
      </c>
    </row>
    <row r="57" spans="1:9" x14ac:dyDescent="0.2">
      <c r="A57" s="1" t="s">
        <v>180</v>
      </c>
    </row>
    <row r="58" spans="1:9" x14ac:dyDescent="0.2">
      <c r="A58" s="1" t="s">
        <v>169</v>
      </c>
      <c r="B58" s="1" t="s">
        <v>181</v>
      </c>
    </row>
    <row r="59" spans="1:9" x14ac:dyDescent="0.2">
      <c r="A59" s="1" t="s">
        <v>175</v>
      </c>
      <c r="B59" s="1" t="s">
        <v>182</v>
      </c>
    </row>
    <row r="60" spans="1:9" x14ac:dyDescent="0.2">
      <c r="A60" s="1" t="s">
        <v>179</v>
      </c>
      <c r="B60" s="1" t="s">
        <v>183</v>
      </c>
    </row>
  </sheetData>
  <sortState ref="A3:L33">
    <sortCondition ref="L3:L33"/>
    <sortCondition ref="B3:B33"/>
  </sortState>
  <hyperlinks>
    <hyperlink ref="F9" r:id="rId1"/>
    <hyperlink ref="F30" r:id="rId2"/>
    <hyperlink ref="F20" r:id="rId3"/>
    <hyperlink ref="F21" r:id="rId4"/>
    <hyperlink ref="F12" r:id="rId5"/>
    <hyperlink ref="F8" r:id="rId6"/>
    <hyperlink ref="F28" r:id="rId7"/>
    <hyperlink ref="F18" r:id="rId8"/>
    <hyperlink ref="F6" r:id="rId9"/>
    <hyperlink ref="F10" r:id="rId10"/>
    <hyperlink ref="F19" r:id="rId11"/>
    <hyperlink ref="F11" r:id="rId12"/>
    <hyperlink ref="F15" r:id="rId13"/>
    <hyperlink ref="F22" r:id="rId14"/>
    <hyperlink ref="F41" r:id="rId15"/>
    <hyperlink ref="B54" r:id="rId16"/>
    <hyperlink ref="B50" r:id="rId17"/>
    <hyperlink ref="B52" r:id="rId18"/>
  </hyperlink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4"/>
  <sheetViews>
    <sheetView tabSelected="1" topLeftCell="A25" zoomScale="160" zoomScaleNormal="160" workbookViewId="0">
      <selection activeCell="B41" sqref="B35:B41"/>
    </sheetView>
  </sheetViews>
  <sheetFormatPr baseColWidth="10" defaultColWidth="11.5703125" defaultRowHeight="12.75" x14ac:dyDescent="0.2"/>
  <cols>
    <col min="2" max="2" width="20.85546875" style="1" customWidth="1"/>
    <col min="3" max="3" width="20.5703125" style="1" customWidth="1"/>
    <col min="4" max="4" width="11.5703125" hidden="1" customWidth="1"/>
    <col min="5" max="5" width="12.28515625" style="1" hidden="1" customWidth="1"/>
    <col min="6" max="6" width="11.5703125" hidden="1" customWidth="1"/>
    <col min="7" max="7" width="15.42578125" hidden="1" customWidth="1"/>
    <col min="8" max="10" width="11.5703125" hidden="1" customWidth="1"/>
    <col min="11" max="21" width="0" hidden="1" customWidth="1"/>
  </cols>
  <sheetData>
    <row r="1" spans="1:24" x14ac:dyDescent="0.2">
      <c r="A1" s="1" t="s">
        <v>2</v>
      </c>
      <c r="B1" s="1" t="s">
        <v>3</v>
      </c>
      <c r="C1" s="1" t="s">
        <v>4</v>
      </c>
      <c r="D1" s="1" t="s">
        <v>9</v>
      </c>
      <c r="E1" s="51">
        <v>46135</v>
      </c>
      <c r="F1" s="52">
        <v>46149</v>
      </c>
      <c r="G1" s="1" t="s">
        <v>11</v>
      </c>
      <c r="H1" s="52">
        <v>46156</v>
      </c>
      <c r="I1" s="52">
        <v>46163</v>
      </c>
      <c r="J1" t="s">
        <v>195</v>
      </c>
      <c r="K1" t="s">
        <v>196</v>
      </c>
      <c r="L1" s="52">
        <v>46177</v>
      </c>
      <c r="M1" s="52">
        <v>46184</v>
      </c>
      <c r="N1" s="52">
        <v>46191</v>
      </c>
      <c r="O1" s="52">
        <v>46198</v>
      </c>
      <c r="P1" s="52">
        <v>46254</v>
      </c>
      <c r="Q1" s="52">
        <v>46268</v>
      </c>
      <c r="R1" s="52">
        <v>46275</v>
      </c>
      <c r="S1" s="52">
        <v>46282</v>
      </c>
      <c r="T1" s="52">
        <v>46289</v>
      </c>
      <c r="U1" s="52">
        <v>46296</v>
      </c>
      <c r="V1" s="52">
        <v>46303</v>
      </c>
      <c r="W1" s="52">
        <v>46310</v>
      </c>
      <c r="X1" s="52">
        <v>46324</v>
      </c>
    </row>
    <row r="2" spans="1:24" x14ac:dyDescent="0.2">
      <c r="A2" s="1">
        <v>33</v>
      </c>
      <c r="B2" s="1" t="s">
        <v>207</v>
      </c>
      <c r="C2" s="1" t="s">
        <v>208</v>
      </c>
      <c r="D2" s="1" t="s">
        <v>204</v>
      </c>
      <c r="F2" s="7"/>
      <c r="H2" s="7"/>
      <c r="I2" s="7"/>
      <c r="P2" t="s">
        <v>22</v>
      </c>
      <c r="Q2" t="s">
        <v>192</v>
      </c>
      <c r="R2" t="s">
        <v>192</v>
      </c>
      <c r="S2" t="s">
        <v>192</v>
      </c>
      <c r="T2" t="s">
        <v>192</v>
      </c>
      <c r="U2" t="s">
        <v>192</v>
      </c>
      <c r="V2" t="s">
        <v>192</v>
      </c>
      <c r="W2" t="s">
        <v>192</v>
      </c>
      <c r="X2" t="s">
        <v>192</v>
      </c>
    </row>
    <row r="3" spans="1:24" x14ac:dyDescent="0.2">
      <c r="A3" s="1">
        <v>37</v>
      </c>
      <c r="B3" s="1" t="s">
        <v>207</v>
      </c>
      <c r="C3" s="1" t="s">
        <v>216</v>
      </c>
      <c r="D3" s="1" t="s">
        <v>210</v>
      </c>
      <c r="F3" s="7"/>
      <c r="H3" s="7"/>
      <c r="I3" s="7"/>
      <c r="S3" t="s">
        <v>22</v>
      </c>
      <c r="T3" t="s">
        <v>192</v>
      </c>
      <c r="U3" t="s">
        <v>22</v>
      </c>
      <c r="V3" t="s">
        <v>22</v>
      </c>
      <c r="W3" t="s">
        <v>22</v>
      </c>
      <c r="X3" t="s">
        <v>192</v>
      </c>
    </row>
    <row r="4" spans="1:24" x14ac:dyDescent="0.2">
      <c r="A4" s="1">
        <v>1</v>
      </c>
      <c r="B4" s="1" t="s">
        <v>71</v>
      </c>
      <c r="C4" s="1" t="s">
        <v>72</v>
      </c>
      <c r="D4" s="1" t="s">
        <v>38</v>
      </c>
      <c r="E4" s="7" t="s">
        <v>22</v>
      </c>
      <c r="F4" s="7" t="s">
        <v>22</v>
      </c>
      <c r="H4" t="s">
        <v>192</v>
      </c>
      <c r="I4" t="s">
        <v>192</v>
      </c>
      <c r="J4">
        <f>COUNTIF(E4:I4,"P")</f>
        <v>2</v>
      </c>
      <c r="K4">
        <f>ROUND(J4*10/4,0)</f>
        <v>5</v>
      </c>
      <c r="L4" t="s">
        <v>192</v>
      </c>
      <c r="M4" t="s">
        <v>192</v>
      </c>
      <c r="N4" t="s">
        <v>192</v>
      </c>
      <c r="O4" t="s">
        <v>192</v>
      </c>
      <c r="P4" t="s">
        <v>192</v>
      </c>
      <c r="Q4" t="s">
        <v>192</v>
      </c>
      <c r="R4" t="s">
        <v>192</v>
      </c>
      <c r="S4" t="s">
        <v>192</v>
      </c>
      <c r="T4" t="s">
        <v>192</v>
      </c>
      <c r="U4" t="s">
        <v>192</v>
      </c>
      <c r="V4" t="s">
        <v>192</v>
      </c>
      <c r="W4" t="s">
        <v>192</v>
      </c>
      <c r="X4" t="s">
        <v>192</v>
      </c>
    </row>
    <row r="5" spans="1:24" x14ac:dyDescent="0.2">
      <c r="A5" s="1">
        <v>2</v>
      </c>
      <c r="B5" s="1" t="s">
        <v>75</v>
      </c>
      <c r="C5" s="1" t="s">
        <v>76</v>
      </c>
      <c r="D5" s="1" t="s">
        <v>78</v>
      </c>
      <c r="F5" s="1" t="s">
        <v>192</v>
      </c>
      <c r="H5" t="s">
        <v>192</v>
      </c>
      <c r="I5" t="s">
        <v>192</v>
      </c>
      <c r="J5">
        <f>COUNTIF(E5:I5,"P")</f>
        <v>0</v>
      </c>
      <c r="K5">
        <f>ROUND(J5*10/4,0)</f>
        <v>0</v>
      </c>
      <c r="L5" t="s">
        <v>192</v>
      </c>
      <c r="M5" t="s">
        <v>192</v>
      </c>
      <c r="N5" t="s">
        <v>192</v>
      </c>
      <c r="O5" t="s">
        <v>192</v>
      </c>
      <c r="P5" t="s">
        <v>192</v>
      </c>
      <c r="Q5" t="s">
        <v>192</v>
      </c>
      <c r="R5" t="s">
        <v>192</v>
      </c>
      <c r="S5" t="s">
        <v>192</v>
      </c>
      <c r="T5" t="s">
        <v>192</v>
      </c>
      <c r="U5" t="s">
        <v>192</v>
      </c>
      <c r="V5" t="s">
        <v>192</v>
      </c>
      <c r="W5" t="s">
        <v>192</v>
      </c>
      <c r="X5" t="s">
        <v>192</v>
      </c>
    </row>
    <row r="6" spans="1:24" s="54" customFormat="1" x14ac:dyDescent="0.2">
      <c r="A6" s="1">
        <v>3</v>
      </c>
      <c r="B6" s="1" t="s">
        <v>14</v>
      </c>
      <c r="C6" s="1" t="s">
        <v>15</v>
      </c>
      <c r="D6" s="1" t="s">
        <v>17</v>
      </c>
      <c r="E6" s="1"/>
      <c r="F6" s="1" t="s">
        <v>22</v>
      </c>
      <c r="G6"/>
      <c r="H6" t="s">
        <v>192</v>
      </c>
      <c r="I6" t="s">
        <v>22</v>
      </c>
      <c r="J6">
        <f>COUNTIF(E6:I6,"P")</f>
        <v>2</v>
      </c>
      <c r="K6">
        <f>ROUND(J6*10/4,0)</f>
        <v>5</v>
      </c>
      <c r="L6" t="s">
        <v>22</v>
      </c>
      <c r="M6" t="s">
        <v>22</v>
      </c>
      <c r="N6" t="s">
        <v>192</v>
      </c>
      <c r="O6" t="s">
        <v>22</v>
      </c>
      <c r="P6" t="s">
        <v>192</v>
      </c>
      <c r="Q6" t="s">
        <v>22</v>
      </c>
      <c r="R6" t="s">
        <v>22</v>
      </c>
      <c r="S6" t="s">
        <v>22</v>
      </c>
      <c r="T6" t="s">
        <v>192</v>
      </c>
      <c r="U6" t="s">
        <v>192</v>
      </c>
      <c r="V6" t="s">
        <v>192</v>
      </c>
      <c r="W6" t="s">
        <v>192</v>
      </c>
      <c r="X6" t="s">
        <v>192</v>
      </c>
    </row>
    <row r="7" spans="1:24" x14ac:dyDescent="0.2">
      <c r="A7" s="1">
        <v>4</v>
      </c>
      <c r="B7" s="1" t="s">
        <v>79</v>
      </c>
      <c r="C7" s="1" t="s">
        <v>80</v>
      </c>
      <c r="D7" s="1" t="s">
        <v>38</v>
      </c>
      <c r="E7" s="7" t="s">
        <v>22</v>
      </c>
      <c r="F7" s="7" t="s">
        <v>22</v>
      </c>
      <c r="H7" t="s">
        <v>192</v>
      </c>
      <c r="I7" t="s">
        <v>192</v>
      </c>
      <c r="J7">
        <f>COUNTIF(E7:I7,"P")</f>
        <v>2</v>
      </c>
      <c r="K7">
        <f>ROUND(J7*10/4,0)</f>
        <v>5</v>
      </c>
      <c r="L7" t="s">
        <v>192</v>
      </c>
      <c r="M7" t="s">
        <v>192</v>
      </c>
      <c r="N7" t="s">
        <v>192</v>
      </c>
      <c r="O7" t="s">
        <v>192</v>
      </c>
      <c r="P7" t="s">
        <v>192</v>
      </c>
      <c r="Q7" t="s">
        <v>192</v>
      </c>
      <c r="R7" t="s">
        <v>192</v>
      </c>
      <c r="S7" t="s">
        <v>192</v>
      </c>
      <c r="T7" t="s">
        <v>192</v>
      </c>
      <c r="U7" t="s">
        <v>192</v>
      </c>
      <c r="V7" t="s">
        <v>192</v>
      </c>
      <c r="W7" t="s">
        <v>192</v>
      </c>
      <c r="X7" t="s">
        <v>192</v>
      </c>
    </row>
    <row r="8" spans="1:24" x14ac:dyDescent="0.2">
      <c r="A8" s="53">
        <v>5</v>
      </c>
      <c r="B8" s="53" t="s">
        <v>184</v>
      </c>
      <c r="C8" s="53" t="s">
        <v>185</v>
      </c>
      <c r="D8" s="53" t="s">
        <v>17</v>
      </c>
      <c r="E8" s="53"/>
      <c r="F8" s="53" t="s">
        <v>192</v>
      </c>
      <c r="G8" s="54" t="s">
        <v>193</v>
      </c>
      <c r="H8" s="54"/>
      <c r="I8" s="54"/>
      <c r="J8">
        <f>COUNTIF(E8:I8,"P")</f>
        <v>0</v>
      </c>
      <c r="K8">
        <f>ROUND(J8*10/4,0)</f>
        <v>0</v>
      </c>
      <c r="L8" t="s">
        <v>192</v>
      </c>
      <c r="M8" t="s">
        <v>192</v>
      </c>
      <c r="N8" t="s">
        <v>192</v>
      </c>
      <c r="O8" t="s">
        <v>192</v>
      </c>
      <c r="P8" t="s">
        <v>192</v>
      </c>
      <c r="Q8" t="s">
        <v>192</v>
      </c>
      <c r="R8" t="s">
        <v>192</v>
      </c>
      <c r="S8" t="s">
        <v>192</v>
      </c>
      <c r="T8" t="s">
        <v>192</v>
      </c>
      <c r="U8" t="s">
        <v>192</v>
      </c>
      <c r="V8" t="s">
        <v>192</v>
      </c>
      <c r="W8" t="s">
        <v>192</v>
      </c>
      <c r="X8" t="s">
        <v>192</v>
      </c>
    </row>
    <row r="9" spans="1:24" x14ac:dyDescent="0.2">
      <c r="A9" s="1">
        <v>6</v>
      </c>
      <c r="B9" s="1" t="s">
        <v>84</v>
      </c>
      <c r="C9" s="1" t="s">
        <v>85</v>
      </c>
      <c r="D9" s="1" t="s">
        <v>78</v>
      </c>
      <c r="F9" s="7" t="s">
        <v>192</v>
      </c>
      <c r="H9" t="s">
        <v>192</v>
      </c>
      <c r="I9" t="s">
        <v>192</v>
      </c>
      <c r="J9">
        <f>COUNTIF(E9:I9,"P")</f>
        <v>0</v>
      </c>
      <c r="K9">
        <f>ROUND(J9*10/4,0)</f>
        <v>0</v>
      </c>
      <c r="L9" t="s">
        <v>192</v>
      </c>
      <c r="M9" s="54" t="s">
        <v>192</v>
      </c>
      <c r="N9" t="s">
        <v>192</v>
      </c>
      <c r="O9" t="s">
        <v>192</v>
      </c>
      <c r="P9" t="s">
        <v>192</v>
      </c>
      <c r="Q9" t="s">
        <v>192</v>
      </c>
      <c r="R9" t="s">
        <v>192</v>
      </c>
      <c r="S9" t="s">
        <v>192</v>
      </c>
      <c r="T9" t="s">
        <v>192</v>
      </c>
      <c r="U9" t="s">
        <v>192</v>
      </c>
      <c r="V9" t="s">
        <v>192</v>
      </c>
      <c r="W9" t="s">
        <v>192</v>
      </c>
      <c r="X9" t="s">
        <v>192</v>
      </c>
    </row>
    <row r="10" spans="1:24" x14ac:dyDescent="0.2">
      <c r="A10" s="1">
        <v>7</v>
      </c>
      <c r="B10" s="1" t="s">
        <v>87</v>
      </c>
      <c r="C10" s="1" t="s">
        <v>88</v>
      </c>
      <c r="D10" s="1" t="s">
        <v>53</v>
      </c>
      <c r="E10" s="7" t="s">
        <v>22</v>
      </c>
      <c r="F10" s="7" t="s">
        <v>22</v>
      </c>
      <c r="H10" t="s">
        <v>22</v>
      </c>
      <c r="I10" t="s">
        <v>192</v>
      </c>
      <c r="J10">
        <f>COUNTIF(E10:I10,"P")</f>
        <v>3</v>
      </c>
      <c r="K10">
        <f>ROUND(J10*10/4,0)</f>
        <v>8</v>
      </c>
      <c r="L10" t="s">
        <v>192</v>
      </c>
      <c r="M10" t="s">
        <v>192</v>
      </c>
      <c r="N10" t="s">
        <v>192</v>
      </c>
      <c r="O10" t="s">
        <v>192</v>
      </c>
      <c r="P10" t="s">
        <v>192</v>
      </c>
      <c r="Q10" t="s">
        <v>192</v>
      </c>
      <c r="R10" t="s">
        <v>192</v>
      </c>
      <c r="S10" t="s">
        <v>192</v>
      </c>
      <c r="T10" t="s">
        <v>192</v>
      </c>
      <c r="U10" t="s">
        <v>192</v>
      </c>
      <c r="V10" t="s">
        <v>192</v>
      </c>
      <c r="W10" t="s">
        <v>192</v>
      </c>
      <c r="X10" t="s">
        <v>192</v>
      </c>
    </row>
    <row r="11" spans="1:24" x14ac:dyDescent="0.2">
      <c r="A11" s="1">
        <v>8</v>
      </c>
      <c r="B11" s="1" t="s">
        <v>90</v>
      </c>
      <c r="C11" s="1" t="s">
        <v>91</v>
      </c>
      <c r="D11" s="1" t="s">
        <v>53</v>
      </c>
      <c r="F11" s="7" t="s">
        <v>192</v>
      </c>
      <c r="H11" t="s">
        <v>192</v>
      </c>
      <c r="I11" t="s">
        <v>192</v>
      </c>
      <c r="J11">
        <f>COUNTIF(E11:I11,"P")</f>
        <v>0</v>
      </c>
      <c r="K11">
        <f>ROUND(J11*10/4,0)</f>
        <v>0</v>
      </c>
      <c r="L11" t="s">
        <v>192</v>
      </c>
      <c r="M11" t="s">
        <v>192</v>
      </c>
      <c r="N11" t="s">
        <v>192</v>
      </c>
      <c r="O11" t="s">
        <v>192</v>
      </c>
      <c r="P11" t="s">
        <v>192</v>
      </c>
      <c r="Q11" t="s">
        <v>192</v>
      </c>
      <c r="R11" t="s">
        <v>192</v>
      </c>
      <c r="S11" t="s">
        <v>192</v>
      </c>
      <c r="T11" t="s">
        <v>192</v>
      </c>
      <c r="U11" t="s">
        <v>192</v>
      </c>
      <c r="V11" t="s">
        <v>192</v>
      </c>
      <c r="W11" t="s">
        <v>192</v>
      </c>
      <c r="X11" t="s">
        <v>192</v>
      </c>
    </row>
    <row r="12" spans="1:24" x14ac:dyDescent="0.2">
      <c r="A12" s="1">
        <v>9</v>
      </c>
      <c r="B12" s="1" t="s">
        <v>186</v>
      </c>
      <c r="C12" s="1" t="s">
        <v>24</v>
      </c>
      <c r="D12" s="1" t="s">
        <v>17</v>
      </c>
      <c r="E12" s="7" t="s">
        <v>22</v>
      </c>
      <c r="F12" s="7" t="s">
        <v>22</v>
      </c>
      <c r="H12" t="s">
        <v>22</v>
      </c>
      <c r="I12" t="s">
        <v>22</v>
      </c>
      <c r="J12">
        <f>COUNTIF(E12:I12,"P")</f>
        <v>4</v>
      </c>
      <c r="K12">
        <f>ROUND(J12*10/4,0)</f>
        <v>10</v>
      </c>
      <c r="L12" t="s">
        <v>22</v>
      </c>
      <c r="M12" t="s">
        <v>22</v>
      </c>
      <c r="N12" t="s">
        <v>22</v>
      </c>
      <c r="O12" t="s">
        <v>22</v>
      </c>
      <c r="P12" t="s">
        <v>192</v>
      </c>
      <c r="Q12" t="s">
        <v>22</v>
      </c>
      <c r="R12" t="s">
        <v>22</v>
      </c>
      <c r="S12" t="s">
        <v>22</v>
      </c>
      <c r="T12" t="s">
        <v>192</v>
      </c>
      <c r="U12" t="s">
        <v>192</v>
      </c>
      <c r="V12" t="s">
        <v>192</v>
      </c>
      <c r="W12" t="s">
        <v>192</v>
      </c>
      <c r="X12" t="s">
        <v>192</v>
      </c>
    </row>
    <row r="13" spans="1:24" x14ac:dyDescent="0.2">
      <c r="A13" s="1">
        <v>10</v>
      </c>
      <c r="B13" s="1" t="s">
        <v>187</v>
      </c>
      <c r="C13" s="1" t="s">
        <v>188</v>
      </c>
      <c r="D13" s="1" t="s">
        <v>17</v>
      </c>
      <c r="F13" s="7" t="s">
        <v>22</v>
      </c>
      <c r="G13" s="7" t="s">
        <v>194</v>
      </c>
      <c r="H13" s="7" t="s">
        <v>22</v>
      </c>
      <c r="I13" s="7" t="s">
        <v>22</v>
      </c>
      <c r="J13">
        <f>COUNTIF(E13:I13,"P")</f>
        <v>3</v>
      </c>
      <c r="K13">
        <f>ROUND(J13*10/4,0)</f>
        <v>8</v>
      </c>
      <c r="L13" t="s">
        <v>192</v>
      </c>
      <c r="M13" t="s">
        <v>192</v>
      </c>
      <c r="N13" t="s">
        <v>22</v>
      </c>
      <c r="O13" t="s">
        <v>192</v>
      </c>
      <c r="P13" t="s">
        <v>192</v>
      </c>
      <c r="Q13" t="s">
        <v>192</v>
      </c>
      <c r="R13" t="s">
        <v>192</v>
      </c>
      <c r="S13" t="s">
        <v>192</v>
      </c>
      <c r="T13" t="s">
        <v>192</v>
      </c>
      <c r="U13" t="s">
        <v>192</v>
      </c>
      <c r="V13" t="s">
        <v>192</v>
      </c>
      <c r="W13" t="s">
        <v>192</v>
      </c>
      <c r="X13" t="s">
        <v>192</v>
      </c>
    </row>
    <row r="14" spans="1:24" x14ac:dyDescent="0.2">
      <c r="A14" s="1">
        <v>11</v>
      </c>
      <c r="B14" s="1" t="s">
        <v>98</v>
      </c>
      <c r="C14" s="1" t="s">
        <v>99</v>
      </c>
      <c r="D14" s="1" t="s">
        <v>38</v>
      </c>
      <c r="F14" s="7" t="s">
        <v>192</v>
      </c>
      <c r="G14" s="56"/>
      <c r="H14" s="7" t="s">
        <v>22</v>
      </c>
      <c r="I14" s="7" t="s">
        <v>192</v>
      </c>
      <c r="J14">
        <f>COUNTIF(E14:I14,"P")</f>
        <v>1</v>
      </c>
      <c r="K14">
        <f>ROUND(J14*10/4,0)</f>
        <v>3</v>
      </c>
      <c r="L14" t="s">
        <v>192</v>
      </c>
      <c r="M14" t="s">
        <v>192</v>
      </c>
      <c r="N14" t="s">
        <v>192</v>
      </c>
      <c r="O14" t="s">
        <v>192</v>
      </c>
      <c r="P14" t="s">
        <v>192</v>
      </c>
      <c r="Q14" t="s">
        <v>192</v>
      </c>
      <c r="R14" t="s">
        <v>192</v>
      </c>
      <c r="S14" t="s">
        <v>192</v>
      </c>
      <c r="T14" t="s">
        <v>192</v>
      </c>
      <c r="U14" t="s">
        <v>192</v>
      </c>
      <c r="V14" t="s">
        <v>192</v>
      </c>
      <c r="W14" t="s">
        <v>192</v>
      </c>
      <c r="X14" t="s">
        <v>192</v>
      </c>
    </row>
    <row r="15" spans="1:24" x14ac:dyDescent="0.2">
      <c r="A15" s="1">
        <v>34</v>
      </c>
      <c r="B15" s="1" t="s">
        <v>211</v>
      </c>
      <c r="C15" s="1" t="s">
        <v>209</v>
      </c>
      <c r="D15" s="1" t="s">
        <v>210</v>
      </c>
      <c r="F15" s="7"/>
      <c r="H15" s="7"/>
      <c r="I15" s="7"/>
      <c r="Q15" t="s">
        <v>22</v>
      </c>
      <c r="R15" t="s">
        <v>192</v>
      </c>
      <c r="S15" t="s">
        <v>22</v>
      </c>
      <c r="T15" t="s">
        <v>22</v>
      </c>
      <c r="U15" t="s">
        <v>22</v>
      </c>
      <c r="V15" t="s">
        <v>192</v>
      </c>
      <c r="W15" t="s">
        <v>22</v>
      </c>
      <c r="X15" t="s">
        <v>192</v>
      </c>
    </row>
    <row r="16" spans="1:24" x14ac:dyDescent="0.2">
      <c r="A16" s="1">
        <v>38</v>
      </c>
      <c r="B16" s="1" t="s">
        <v>217</v>
      </c>
      <c r="C16" s="1" t="s">
        <v>218</v>
      </c>
      <c r="D16" s="1" t="s">
        <v>210</v>
      </c>
      <c r="F16" s="7"/>
      <c r="H16" s="7"/>
      <c r="I16" s="7"/>
      <c r="S16" t="s">
        <v>22</v>
      </c>
      <c r="T16" t="s">
        <v>192</v>
      </c>
      <c r="U16" t="s">
        <v>192</v>
      </c>
      <c r="V16" t="s">
        <v>22</v>
      </c>
      <c r="W16" t="s">
        <v>192</v>
      </c>
      <c r="X16" t="s">
        <v>192</v>
      </c>
    </row>
    <row r="17" spans="1:24" x14ac:dyDescent="0.2">
      <c r="A17" s="1">
        <v>13</v>
      </c>
      <c r="B17" s="1" t="s">
        <v>34</v>
      </c>
      <c r="C17" s="1" t="s">
        <v>35</v>
      </c>
      <c r="D17" s="1" t="s">
        <v>38</v>
      </c>
      <c r="F17" s="7" t="s">
        <v>192</v>
      </c>
      <c r="H17" s="7" t="s">
        <v>192</v>
      </c>
      <c r="I17" s="7" t="s">
        <v>192</v>
      </c>
      <c r="J17">
        <f>COUNTIF(E17:I17,"P")</f>
        <v>0</v>
      </c>
      <c r="K17">
        <f>ROUND(J17*10/4,0)</f>
        <v>0</v>
      </c>
      <c r="L17" t="s">
        <v>192</v>
      </c>
      <c r="M17" t="s">
        <v>192</v>
      </c>
      <c r="N17" t="s">
        <v>192</v>
      </c>
      <c r="O17" t="s">
        <v>192</v>
      </c>
      <c r="P17" t="s">
        <v>192</v>
      </c>
      <c r="Q17" t="s">
        <v>192</v>
      </c>
      <c r="R17" t="s">
        <v>192</v>
      </c>
      <c r="S17" t="s">
        <v>192</v>
      </c>
      <c r="T17" t="s">
        <v>192</v>
      </c>
      <c r="U17" t="s">
        <v>192</v>
      </c>
      <c r="V17" t="s">
        <v>192</v>
      </c>
      <c r="W17" t="s">
        <v>192</v>
      </c>
      <c r="X17" t="s">
        <v>192</v>
      </c>
    </row>
    <row r="18" spans="1:24" x14ac:dyDescent="0.2">
      <c r="A18" s="1">
        <v>14</v>
      </c>
      <c r="B18" s="1" t="s">
        <v>107</v>
      </c>
      <c r="C18" s="1" t="s">
        <v>108</v>
      </c>
      <c r="D18" s="1" t="s">
        <v>17</v>
      </c>
      <c r="F18" s="7" t="s">
        <v>192</v>
      </c>
      <c r="H18" s="7" t="s">
        <v>192</v>
      </c>
      <c r="I18" s="7" t="s">
        <v>192</v>
      </c>
      <c r="J18">
        <f>COUNTIF(E18:I18,"P")</f>
        <v>0</v>
      </c>
      <c r="K18">
        <f>ROUND(J18*10/4,0)</f>
        <v>0</v>
      </c>
      <c r="L18" t="s">
        <v>192</v>
      </c>
      <c r="M18" t="s">
        <v>192</v>
      </c>
      <c r="N18" t="s">
        <v>192</v>
      </c>
      <c r="O18" t="s">
        <v>192</v>
      </c>
      <c r="P18" t="s">
        <v>192</v>
      </c>
      <c r="Q18" t="s">
        <v>192</v>
      </c>
      <c r="R18" t="s">
        <v>192</v>
      </c>
      <c r="S18" t="s">
        <v>192</v>
      </c>
      <c r="T18" t="s">
        <v>192</v>
      </c>
      <c r="U18" t="s">
        <v>192</v>
      </c>
      <c r="V18" t="s">
        <v>192</v>
      </c>
      <c r="W18" t="s">
        <v>192</v>
      </c>
      <c r="X18" t="s">
        <v>192</v>
      </c>
    </row>
    <row r="19" spans="1:24" x14ac:dyDescent="0.2">
      <c r="A19" s="1">
        <v>15</v>
      </c>
      <c r="B19" s="1" t="s">
        <v>111</v>
      </c>
      <c r="C19" s="1" t="s">
        <v>57</v>
      </c>
      <c r="D19" s="1" t="s">
        <v>17</v>
      </c>
      <c r="E19" s="7" t="s">
        <v>22</v>
      </c>
      <c r="F19" s="7" t="s">
        <v>22</v>
      </c>
      <c r="G19" s="7" t="s">
        <v>194</v>
      </c>
      <c r="H19" s="7" t="s">
        <v>22</v>
      </c>
      <c r="I19" s="7" t="s">
        <v>22</v>
      </c>
      <c r="J19">
        <f>COUNTIF(E19:I19,"P")</f>
        <v>4</v>
      </c>
      <c r="K19">
        <f>ROUND(J19*10/4,0)</f>
        <v>10</v>
      </c>
      <c r="L19" t="s">
        <v>22</v>
      </c>
      <c r="M19" t="s">
        <v>22</v>
      </c>
      <c r="N19" t="s">
        <v>192</v>
      </c>
      <c r="O19" t="s">
        <v>192</v>
      </c>
      <c r="P19" t="s">
        <v>192</v>
      </c>
      <c r="Q19" t="s">
        <v>192</v>
      </c>
      <c r="R19" t="s">
        <v>192</v>
      </c>
      <c r="S19" t="s">
        <v>192</v>
      </c>
      <c r="T19" t="s">
        <v>192</v>
      </c>
      <c r="U19" t="s">
        <v>192</v>
      </c>
      <c r="V19" t="s">
        <v>192</v>
      </c>
      <c r="W19" t="s">
        <v>192</v>
      </c>
      <c r="X19" t="s">
        <v>192</v>
      </c>
    </row>
    <row r="20" spans="1:24" x14ac:dyDescent="0.2">
      <c r="A20" s="1">
        <v>16</v>
      </c>
      <c r="B20" s="1" t="s">
        <v>113</v>
      </c>
      <c r="C20" s="1" t="s">
        <v>114</v>
      </c>
      <c r="D20" s="57" t="s">
        <v>38</v>
      </c>
      <c r="E20" s="57" t="s">
        <v>22</v>
      </c>
      <c r="F20" s="7" t="s">
        <v>192</v>
      </c>
      <c r="H20" s="7" t="s">
        <v>192</v>
      </c>
      <c r="I20" s="7" t="s">
        <v>192</v>
      </c>
      <c r="J20">
        <f>COUNTIF(E20:I20,"P")</f>
        <v>1</v>
      </c>
      <c r="K20">
        <f>ROUND(J20*10/4,0)</f>
        <v>3</v>
      </c>
      <c r="L20" t="s">
        <v>192</v>
      </c>
      <c r="M20" t="s">
        <v>192</v>
      </c>
      <c r="N20" t="s">
        <v>192</v>
      </c>
      <c r="O20" t="s">
        <v>192</v>
      </c>
      <c r="P20" t="s">
        <v>192</v>
      </c>
      <c r="Q20" t="s">
        <v>192</v>
      </c>
      <c r="R20" t="s">
        <v>192</v>
      </c>
      <c r="S20" t="s">
        <v>192</v>
      </c>
      <c r="T20" t="s">
        <v>192</v>
      </c>
      <c r="U20" t="s">
        <v>192</v>
      </c>
      <c r="V20" t="s">
        <v>192</v>
      </c>
      <c r="W20" t="s">
        <v>192</v>
      </c>
      <c r="X20" t="s">
        <v>192</v>
      </c>
    </row>
    <row r="21" spans="1:24" x14ac:dyDescent="0.2">
      <c r="A21" s="1">
        <v>17</v>
      </c>
      <c r="B21" s="1" t="s">
        <v>40</v>
      </c>
      <c r="C21" s="1" t="s">
        <v>41</v>
      </c>
      <c r="D21" s="57" t="s">
        <v>38</v>
      </c>
      <c r="E21" s="57" t="s">
        <v>22</v>
      </c>
      <c r="F21" s="7" t="s">
        <v>192</v>
      </c>
      <c r="H21" s="7" t="s">
        <v>192</v>
      </c>
      <c r="I21" s="7" t="s">
        <v>192</v>
      </c>
      <c r="J21">
        <f>COUNTIF(E21:I21,"P")</f>
        <v>1</v>
      </c>
      <c r="K21">
        <f>ROUND(J21*10/4,0)</f>
        <v>3</v>
      </c>
      <c r="L21" t="s">
        <v>192</v>
      </c>
      <c r="M21" t="s">
        <v>192</v>
      </c>
      <c r="N21" t="s">
        <v>192</v>
      </c>
      <c r="O21" t="s">
        <v>192</v>
      </c>
      <c r="P21" t="s">
        <v>192</v>
      </c>
      <c r="Q21" t="s">
        <v>192</v>
      </c>
      <c r="R21" t="s">
        <v>192</v>
      </c>
      <c r="S21" t="s">
        <v>192</v>
      </c>
      <c r="T21" t="s">
        <v>192</v>
      </c>
      <c r="U21" t="s">
        <v>192</v>
      </c>
      <c r="V21" t="s">
        <v>192</v>
      </c>
      <c r="W21" t="s">
        <v>192</v>
      </c>
      <c r="X21" t="s">
        <v>192</v>
      </c>
    </row>
    <row r="22" spans="1:24" x14ac:dyDescent="0.2">
      <c r="A22" s="1">
        <v>19</v>
      </c>
      <c r="B22" s="1" t="s">
        <v>49</v>
      </c>
      <c r="C22" s="1" t="s">
        <v>50</v>
      </c>
      <c r="D22" s="1" t="s">
        <v>53</v>
      </c>
      <c r="F22" s="7" t="s">
        <v>192</v>
      </c>
      <c r="H22" s="7" t="s">
        <v>192</v>
      </c>
      <c r="I22" s="7" t="s">
        <v>192</v>
      </c>
      <c r="J22">
        <f>COUNTIF(E22:I22,"P")</f>
        <v>0</v>
      </c>
      <c r="K22">
        <f>ROUND(J22*10/4,0)</f>
        <v>0</v>
      </c>
      <c r="L22" t="s">
        <v>192</v>
      </c>
      <c r="M22" t="s">
        <v>192</v>
      </c>
      <c r="N22" t="s">
        <v>192</v>
      </c>
      <c r="O22" t="s">
        <v>192</v>
      </c>
      <c r="P22" t="s">
        <v>192</v>
      </c>
      <c r="Q22" t="s">
        <v>192</v>
      </c>
      <c r="R22" t="s">
        <v>192</v>
      </c>
      <c r="S22" t="s">
        <v>192</v>
      </c>
      <c r="T22" t="s">
        <v>192</v>
      </c>
      <c r="U22" t="s">
        <v>192</v>
      </c>
      <c r="V22" t="s">
        <v>192</v>
      </c>
      <c r="W22" t="s">
        <v>192</v>
      </c>
      <c r="X22" t="s">
        <v>192</v>
      </c>
    </row>
    <row r="23" spans="1:24" x14ac:dyDescent="0.2">
      <c r="A23" s="1">
        <v>20</v>
      </c>
      <c r="B23" s="1" t="s">
        <v>117</v>
      </c>
      <c r="C23" s="1" t="s">
        <v>118</v>
      </c>
      <c r="D23" s="1" t="s">
        <v>38</v>
      </c>
      <c r="E23" s="7" t="s">
        <v>22</v>
      </c>
      <c r="F23" s="7" t="s">
        <v>192</v>
      </c>
      <c r="H23" s="7" t="s">
        <v>192</v>
      </c>
      <c r="I23" s="7" t="s">
        <v>192</v>
      </c>
      <c r="J23">
        <f>COUNTIF(E23:I23,"P")</f>
        <v>1</v>
      </c>
      <c r="K23">
        <f>ROUND(J23*10/4,0)</f>
        <v>3</v>
      </c>
      <c r="L23" t="s">
        <v>192</v>
      </c>
      <c r="M23" t="s">
        <v>192</v>
      </c>
      <c r="N23" t="s">
        <v>192</v>
      </c>
      <c r="O23" t="s">
        <v>192</v>
      </c>
      <c r="P23" t="s">
        <v>192</v>
      </c>
      <c r="Q23" t="s">
        <v>192</v>
      </c>
      <c r="R23" t="s">
        <v>192</v>
      </c>
      <c r="S23" t="s">
        <v>192</v>
      </c>
      <c r="T23" t="s">
        <v>192</v>
      </c>
      <c r="U23" t="s">
        <v>192</v>
      </c>
      <c r="V23" t="s">
        <v>192</v>
      </c>
      <c r="W23" t="s">
        <v>192</v>
      </c>
      <c r="X23" t="s">
        <v>192</v>
      </c>
    </row>
    <row r="24" spans="1:24" x14ac:dyDescent="0.2">
      <c r="A24" s="1">
        <v>21</v>
      </c>
      <c r="B24" s="1" t="s">
        <v>189</v>
      </c>
      <c r="C24" s="1" t="s">
        <v>220</v>
      </c>
      <c r="D24" s="1" t="s">
        <v>38</v>
      </c>
      <c r="F24" s="7" t="s">
        <v>192</v>
      </c>
      <c r="H24" s="7" t="s">
        <v>192</v>
      </c>
      <c r="I24" s="7" t="s">
        <v>192</v>
      </c>
      <c r="J24">
        <f>COUNTIF(E24:I24,"P")</f>
        <v>0</v>
      </c>
      <c r="K24">
        <f>ROUND(J24*10/4,0)</f>
        <v>0</v>
      </c>
      <c r="L24" t="s">
        <v>192</v>
      </c>
      <c r="M24" t="s">
        <v>192</v>
      </c>
      <c r="N24" t="s">
        <v>192</v>
      </c>
      <c r="O24" t="s">
        <v>192</v>
      </c>
      <c r="P24" t="s">
        <v>192</v>
      </c>
      <c r="Q24" t="s">
        <v>192</v>
      </c>
      <c r="R24" t="s">
        <v>192</v>
      </c>
      <c r="S24" t="s">
        <v>192</v>
      </c>
      <c r="T24" t="s">
        <v>192</v>
      </c>
      <c r="U24" t="s">
        <v>192</v>
      </c>
      <c r="V24" t="s">
        <v>192</v>
      </c>
      <c r="W24" t="s">
        <v>192</v>
      </c>
      <c r="X24" t="s">
        <v>192</v>
      </c>
    </row>
    <row r="25" spans="1:24" x14ac:dyDescent="0.2">
      <c r="A25" s="1">
        <v>31</v>
      </c>
      <c r="B25" s="1" t="s">
        <v>201</v>
      </c>
      <c r="C25" s="1" t="s">
        <v>80</v>
      </c>
      <c r="D25" s="1" t="s">
        <v>78</v>
      </c>
      <c r="F25" s="7"/>
      <c r="H25" s="7"/>
      <c r="I25" s="7"/>
      <c r="N25" t="s">
        <v>22</v>
      </c>
      <c r="O25" t="s">
        <v>22</v>
      </c>
      <c r="P25" t="s">
        <v>192</v>
      </c>
      <c r="Q25" t="s">
        <v>192</v>
      </c>
      <c r="R25" t="s">
        <v>192</v>
      </c>
      <c r="S25" t="s">
        <v>192</v>
      </c>
      <c r="T25" t="s">
        <v>192</v>
      </c>
      <c r="U25" t="s">
        <v>192</v>
      </c>
      <c r="V25" t="s">
        <v>192</v>
      </c>
      <c r="W25" t="s">
        <v>192</v>
      </c>
      <c r="X25" t="s">
        <v>192</v>
      </c>
    </row>
    <row r="26" spans="1:24" x14ac:dyDescent="0.2">
      <c r="A26" s="1">
        <v>39</v>
      </c>
      <c r="B26" s="1" t="s">
        <v>219</v>
      </c>
      <c r="C26" s="1" t="s">
        <v>85</v>
      </c>
      <c r="D26" s="1" t="s">
        <v>210</v>
      </c>
      <c r="F26" s="7"/>
      <c r="H26" s="7"/>
      <c r="I26" s="7"/>
      <c r="S26" t="s">
        <v>22</v>
      </c>
      <c r="T26" t="s">
        <v>192</v>
      </c>
      <c r="U26" t="s">
        <v>192</v>
      </c>
      <c r="V26" t="s">
        <v>192</v>
      </c>
      <c r="W26" t="s">
        <v>192</v>
      </c>
      <c r="X26" t="s">
        <v>192</v>
      </c>
    </row>
    <row r="27" spans="1:24" x14ac:dyDescent="0.2">
      <c r="A27" s="1">
        <v>22</v>
      </c>
      <c r="B27" s="1" t="s">
        <v>56</v>
      </c>
      <c r="C27" s="1" t="s">
        <v>57</v>
      </c>
      <c r="D27" s="1" t="s">
        <v>38</v>
      </c>
      <c r="E27" s="7" t="s">
        <v>22</v>
      </c>
      <c r="F27" s="7" t="s">
        <v>192</v>
      </c>
      <c r="H27" s="7" t="s">
        <v>192</v>
      </c>
      <c r="I27" s="7" t="s">
        <v>192</v>
      </c>
      <c r="J27">
        <f>COUNTIF(E27:I27,"P")</f>
        <v>1</v>
      </c>
      <c r="K27">
        <f>ROUND(J27*10/4,0)</f>
        <v>3</v>
      </c>
      <c r="L27" t="s">
        <v>192</v>
      </c>
      <c r="M27" t="s">
        <v>192</v>
      </c>
      <c r="N27" t="s">
        <v>192</v>
      </c>
      <c r="O27" t="s">
        <v>192</v>
      </c>
      <c r="P27" t="s">
        <v>192</v>
      </c>
      <c r="Q27" t="s">
        <v>192</v>
      </c>
      <c r="R27" t="s">
        <v>192</v>
      </c>
      <c r="S27" t="s">
        <v>192</v>
      </c>
      <c r="T27" t="s">
        <v>192</v>
      </c>
      <c r="U27" t="s">
        <v>192</v>
      </c>
      <c r="V27" t="s">
        <v>192</v>
      </c>
      <c r="W27" t="s">
        <v>192</v>
      </c>
      <c r="X27" t="s">
        <v>192</v>
      </c>
    </row>
    <row r="28" spans="1:24" x14ac:dyDescent="0.2">
      <c r="A28" s="1">
        <v>23</v>
      </c>
      <c r="B28" s="1" t="s">
        <v>129</v>
      </c>
      <c r="C28" s="1" t="s">
        <v>130</v>
      </c>
      <c r="D28" s="1" t="s">
        <v>53</v>
      </c>
      <c r="F28" s="7" t="s">
        <v>192</v>
      </c>
      <c r="H28" s="7" t="s">
        <v>192</v>
      </c>
      <c r="I28" s="7" t="s">
        <v>192</v>
      </c>
      <c r="J28">
        <f>COUNTIF(E28:I28,"P")</f>
        <v>0</v>
      </c>
      <c r="K28">
        <f>ROUND(J28*10/4,0)</f>
        <v>0</v>
      </c>
      <c r="L28" t="s">
        <v>192</v>
      </c>
      <c r="M28" t="s">
        <v>192</v>
      </c>
      <c r="N28" t="s">
        <v>192</v>
      </c>
      <c r="O28" t="s">
        <v>192</v>
      </c>
      <c r="P28" t="s">
        <v>192</v>
      </c>
      <c r="Q28" t="s">
        <v>192</v>
      </c>
      <c r="R28" t="s">
        <v>192</v>
      </c>
      <c r="S28" t="s">
        <v>192</v>
      </c>
      <c r="T28" t="s">
        <v>192</v>
      </c>
      <c r="U28" t="s">
        <v>192</v>
      </c>
      <c r="V28" t="s">
        <v>192</v>
      </c>
      <c r="W28" t="s">
        <v>192</v>
      </c>
      <c r="X28" t="s">
        <v>192</v>
      </c>
    </row>
    <row r="29" spans="1:24" x14ac:dyDescent="0.2">
      <c r="A29" s="1">
        <v>35</v>
      </c>
      <c r="B29" s="1" t="s">
        <v>212</v>
      </c>
      <c r="C29" s="1" t="s">
        <v>213</v>
      </c>
      <c r="D29" s="1" t="s">
        <v>210</v>
      </c>
      <c r="F29" s="7"/>
      <c r="H29" s="7"/>
      <c r="I29" s="7"/>
      <c r="Q29" t="s">
        <v>22</v>
      </c>
      <c r="R29" t="s">
        <v>192</v>
      </c>
      <c r="S29" t="s">
        <v>192</v>
      </c>
      <c r="T29" t="s">
        <v>192</v>
      </c>
      <c r="U29" t="s">
        <v>192</v>
      </c>
      <c r="V29" t="s">
        <v>22</v>
      </c>
      <c r="W29" t="s">
        <v>192</v>
      </c>
      <c r="X29" t="s">
        <v>192</v>
      </c>
    </row>
    <row r="30" spans="1:24" x14ac:dyDescent="0.2">
      <c r="A30" s="1">
        <v>24</v>
      </c>
      <c r="B30" s="1" t="s">
        <v>132</v>
      </c>
      <c r="C30" s="1" t="s">
        <v>190</v>
      </c>
      <c r="D30" s="1" t="s">
        <v>17</v>
      </c>
      <c r="F30" s="7" t="s">
        <v>22</v>
      </c>
      <c r="H30" s="7" t="s">
        <v>22</v>
      </c>
      <c r="I30" s="7" t="s">
        <v>192</v>
      </c>
      <c r="J30">
        <f>COUNTIF(E30:I30,"P")</f>
        <v>2</v>
      </c>
      <c r="K30">
        <f>ROUND(J30*10/4,0)</f>
        <v>5</v>
      </c>
      <c r="L30" t="s">
        <v>192</v>
      </c>
      <c r="M30" t="s">
        <v>192</v>
      </c>
      <c r="N30" t="s">
        <v>192</v>
      </c>
      <c r="O30" t="s">
        <v>192</v>
      </c>
      <c r="P30" t="s">
        <v>192</v>
      </c>
      <c r="Q30" t="s">
        <v>192</v>
      </c>
      <c r="R30" t="s">
        <v>192</v>
      </c>
      <c r="S30" t="s">
        <v>192</v>
      </c>
      <c r="T30" t="s">
        <v>192</v>
      </c>
      <c r="U30" t="s">
        <v>192</v>
      </c>
      <c r="V30" t="s">
        <v>192</v>
      </c>
      <c r="W30" t="s">
        <v>192</v>
      </c>
      <c r="X30" t="s">
        <v>192</v>
      </c>
    </row>
    <row r="31" spans="1:24" x14ac:dyDescent="0.2">
      <c r="A31" s="1">
        <v>25</v>
      </c>
      <c r="B31" s="1" t="s">
        <v>64</v>
      </c>
      <c r="C31" s="1" t="s">
        <v>69</v>
      </c>
      <c r="D31" s="1" t="s">
        <v>53</v>
      </c>
      <c r="F31" s="7" t="s">
        <v>192</v>
      </c>
      <c r="H31" s="7" t="s">
        <v>22</v>
      </c>
      <c r="I31" s="7" t="s">
        <v>192</v>
      </c>
      <c r="J31">
        <f>COUNTIF(E31:I31,"P")</f>
        <v>1</v>
      </c>
      <c r="K31">
        <f>ROUND(J31*10/4,0)</f>
        <v>3</v>
      </c>
      <c r="L31" t="s">
        <v>192</v>
      </c>
      <c r="M31" t="s">
        <v>192</v>
      </c>
      <c r="N31" t="s">
        <v>192</v>
      </c>
      <c r="O31" t="s">
        <v>192</v>
      </c>
      <c r="P31" t="s">
        <v>192</v>
      </c>
      <c r="Q31" t="s">
        <v>192</v>
      </c>
      <c r="R31" t="s">
        <v>192</v>
      </c>
      <c r="S31" t="s">
        <v>192</v>
      </c>
      <c r="T31" t="s">
        <v>192</v>
      </c>
      <c r="U31" t="s">
        <v>192</v>
      </c>
      <c r="V31" t="s">
        <v>192</v>
      </c>
      <c r="W31" t="s">
        <v>192</v>
      </c>
      <c r="X31" t="s">
        <v>192</v>
      </c>
    </row>
    <row r="32" spans="1:24" x14ac:dyDescent="0.2">
      <c r="A32" s="1">
        <v>36</v>
      </c>
      <c r="B32" s="1" t="s">
        <v>214</v>
      </c>
      <c r="C32" s="1" t="s">
        <v>215</v>
      </c>
      <c r="D32" s="1" t="s">
        <v>210</v>
      </c>
      <c r="F32" s="7"/>
      <c r="H32" s="7"/>
      <c r="I32" s="7"/>
      <c r="Q32" t="s">
        <v>22</v>
      </c>
      <c r="R32" t="s">
        <v>22</v>
      </c>
      <c r="S32" t="s">
        <v>192</v>
      </c>
      <c r="T32" t="s">
        <v>192</v>
      </c>
      <c r="U32" t="s">
        <v>22</v>
      </c>
      <c r="V32" t="s">
        <v>192</v>
      </c>
      <c r="W32" t="s">
        <v>22</v>
      </c>
      <c r="X32" t="s">
        <v>192</v>
      </c>
    </row>
    <row r="33" spans="1:24" x14ac:dyDescent="0.2">
      <c r="A33" s="1">
        <v>26</v>
      </c>
      <c r="B33" s="1" t="s">
        <v>136</v>
      </c>
      <c r="C33" s="1" t="s">
        <v>137</v>
      </c>
      <c r="D33" s="1" t="s">
        <v>38</v>
      </c>
      <c r="F33" s="7" t="s">
        <v>192</v>
      </c>
      <c r="H33" s="7" t="s">
        <v>192</v>
      </c>
      <c r="I33" s="7" t="s">
        <v>192</v>
      </c>
      <c r="J33">
        <f>COUNTIF(E33:I33,"P")</f>
        <v>0</v>
      </c>
      <c r="K33">
        <f>ROUND(J33*10/4,0)</f>
        <v>0</v>
      </c>
      <c r="L33" t="s">
        <v>192</v>
      </c>
      <c r="M33" t="s">
        <v>192</v>
      </c>
      <c r="N33" t="s">
        <v>192</v>
      </c>
      <c r="O33" t="s">
        <v>192</v>
      </c>
      <c r="P33" t="s">
        <v>192</v>
      </c>
      <c r="Q33" t="s">
        <v>192</v>
      </c>
      <c r="R33" t="s">
        <v>192</v>
      </c>
      <c r="S33" t="s">
        <v>192</v>
      </c>
      <c r="T33" t="s">
        <v>192</v>
      </c>
      <c r="U33" t="s">
        <v>192</v>
      </c>
      <c r="V33" t="s">
        <v>192</v>
      </c>
      <c r="W33" t="s">
        <v>192</v>
      </c>
      <c r="X33" t="s">
        <v>192</v>
      </c>
    </row>
    <row r="34" spans="1:24" x14ac:dyDescent="0.2">
      <c r="A34" s="1">
        <v>27</v>
      </c>
      <c r="B34" s="1" t="s">
        <v>139</v>
      </c>
      <c r="C34" s="1" t="s">
        <v>140</v>
      </c>
      <c r="D34" s="1" t="s">
        <v>17</v>
      </c>
      <c r="E34" s="7" t="s">
        <v>22</v>
      </c>
      <c r="F34" s="7" t="s">
        <v>22</v>
      </c>
      <c r="G34" s="7" t="s">
        <v>194</v>
      </c>
      <c r="H34" s="7" t="s">
        <v>192</v>
      </c>
      <c r="I34" s="7" t="s">
        <v>192</v>
      </c>
      <c r="J34">
        <f>COUNTIF(E34:I34,"P")</f>
        <v>2</v>
      </c>
      <c r="K34">
        <f>ROUND(J34*10/4,0)</f>
        <v>5</v>
      </c>
      <c r="L34" t="s">
        <v>192</v>
      </c>
      <c r="M34" t="s">
        <v>192</v>
      </c>
      <c r="N34" t="s">
        <v>192</v>
      </c>
      <c r="O34" t="s">
        <v>192</v>
      </c>
      <c r="P34" t="s">
        <v>192</v>
      </c>
      <c r="Q34" t="s">
        <v>192</v>
      </c>
      <c r="R34" t="s">
        <v>192</v>
      </c>
      <c r="S34" t="s">
        <v>192</v>
      </c>
      <c r="T34" t="s">
        <v>192</v>
      </c>
      <c r="U34" t="s">
        <v>192</v>
      </c>
      <c r="V34" t="s">
        <v>192</v>
      </c>
      <c r="W34" t="s">
        <v>192</v>
      </c>
      <c r="X34" t="s">
        <v>192</v>
      </c>
    </row>
    <row r="35" spans="1:24" x14ac:dyDescent="0.2">
      <c r="A35" s="1">
        <v>30</v>
      </c>
      <c r="B35" s="1" t="s">
        <v>221</v>
      </c>
      <c r="C35" s="1" t="s">
        <v>200</v>
      </c>
      <c r="D35" s="1" t="s">
        <v>198</v>
      </c>
      <c r="F35" s="7"/>
      <c r="H35" s="7"/>
      <c r="I35" s="7"/>
      <c r="L35" t="s">
        <v>22</v>
      </c>
      <c r="M35" t="s">
        <v>22</v>
      </c>
      <c r="N35" t="s">
        <v>22</v>
      </c>
      <c r="O35" t="s">
        <v>22</v>
      </c>
      <c r="P35" t="s">
        <v>192</v>
      </c>
      <c r="Q35" t="s">
        <v>22</v>
      </c>
      <c r="R35" t="s">
        <v>22</v>
      </c>
      <c r="S35" t="s">
        <v>192</v>
      </c>
      <c r="T35" t="s">
        <v>192</v>
      </c>
      <c r="U35" t="s">
        <v>22</v>
      </c>
      <c r="V35" t="s">
        <v>22</v>
      </c>
      <c r="W35" t="s">
        <v>22</v>
      </c>
      <c r="X35" t="s">
        <v>22</v>
      </c>
    </row>
    <row r="36" spans="1:24" x14ac:dyDescent="0.2">
      <c r="A36" s="1">
        <v>29</v>
      </c>
      <c r="B36" s="1" t="s">
        <v>197</v>
      </c>
      <c r="C36" s="1" t="s">
        <v>199</v>
      </c>
      <c r="D36" s="1" t="s">
        <v>198</v>
      </c>
      <c r="F36" s="7"/>
      <c r="H36" s="7"/>
      <c r="I36" s="7"/>
      <c r="L36" t="s">
        <v>22</v>
      </c>
      <c r="M36" t="s">
        <v>22</v>
      </c>
      <c r="N36" t="s">
        <v>22</v>
      </c>
      <c r="O36" t="s">
        <v>22</v>
      </c>
      <c r="P36" t="s">
        <v>22</v>
      </c>
      <c r="Q36" t="s">
        <v>22</v>
      </c>
      <c r="R36" t="s">
        <v>22</v>
      </c>
      <c r="S36" t="s">
        <v>192</v>
      </c>
      <c r="T36" t="s">
        <v>22</v>
      </c>
      <c r="U36" t="s">
        <v>22</v>
      </c>
      <c r="V36" t="s">
        <v>22</v>
      </c>
      <c r="W36" t="s">
        <v>22</v>
      </c>
      <c r="X36" t="s">
        <v>22</v>
      </c>
    </row>
    <row r="37" spans="1:24" x14ac:dyDescent="0.2">
      <c r="A37" s="1">
        <v>32</v>
      </c>
      <c r="B37" s="1" t="s">
        <v>205</v>
      </c>
      <c r="C37" s="1" t="s">
        <v>206</v>
      </c>
      <c r="D37" s="1" t="s">
        <v>204</v>
      </c>
      <c r="F37" s="7"/>
      <c r="H37" s="7"/>
      <c r="I37" s="7"/>
      <c r="P37" t="s">
        <v>22</v>
      </c>
      <c r="Q37" t="s">
        <v>192</v>
      </c>
      <c r="R37" t="s">
        <v>22</v>
      </c>
      <c r="S37" t="s">
        <v>192</v>
      </c>
      <c r="T37" t="s">
        <v>192</v>
      </c>
      <c r="U37" t="s">
        <v>192</v>
      </c>
      <c r="V37" t="s">
        <v>22</v>
      </c>
      <c r="W37" t="s">
        <v>192</v>
      </c>
      <c r="X37" t="s">
        <v>22</v>
      </c>
    </row>
    <row r="38" spans="1:24" x14ac:dyDescent="0.2">
      <c r="A38" s="1">
        <v>12</v>
      </c>
      <c r="B38" s="1" t="s">
        <v>104</v>
      </c>
      <c r="C38" s="1" t="s">
        <v>105</v>
      </c>
      <c r="D38" s="1" t="s">
        <v>17</v>
      </c>
      <c r="E38" s="7" t="s">
        <v>22</v>
      </c>
      <c r="F38" s="7" t="s">
        <v>192</v>
      </c>
      <c r="H38" s="57" t="s">
        <v>22</v>
      </c>
      <c r="I38" s="7" t="s">
        <v>22</v>
      </c>
      <c r="J38">
        <f>COUNTIF(E38:I38,"P")</f>
        <v>3</v>
      </c>
      <c r="K38">
        <f>ROUND(J38*10/4,0)</f>
        <v>8</v>
      </c>
      <c r="L38" t="s">
        <v>22</v>
      </c>
      <c r="M38" t="s">
        <v>192</v>
      </c>
      <c r="N38" t="s">
        <v>192</v>
      </c>
      <c r="O38" t="s">
        <v>192</v>
      </c>
      <c r="P38" t="s">
        <v>192</v>
      </c>
      <c r="Q38" t="s">
        <v>192</v>
      </c>
      <c r="R38" t="s">
        <v>192</v>
      </c>
      <c r="S38" t="s">
        <v>22</v>
      </c>
      <c r="T38" t="s">
        <v>22</v>
      </c>
      <c r="U38" t="s">
        <v>192</v>
      </c>
      <c r="V38" t="s">
        <v>192</v>
      </c>
      <c r="W38" t="s">
        <v>192</v>
      </c>
      <c r="X38" t="s">
        <v>22</v>
      </c>
    </row>
    <row r="39" spans="1:24" x14ac:dyDescent="0.2">
      <c r="A39" s="1">
        <v>32</v>
      </c>
      <c r="B39" s="1" t="s">
        <v>202</v>
      </c>
      <c r="C39" s="1" t="s">
        <v>203</v>
      </c>
      <c r="D39" s="1" t="s">
        <v>204</v>
      </c>
      <c r="F39" s="7"/>
      <c r="H39" s="7"/>
      <c r="I39" s="7"/>
      <c r="O39" t="s">
        <v>22</v>
      </c>
      <c r="P39" t="s">
        <v>22</v>
      </c>
      <c r="Q39" t="s">
        <v>192</v>
      </c>
      <c r="R39" t="s">
        <v>22</v>
      </c>
      <c r="S39" t="s">
        <v>192</v>
      </c>
      <c r="T39" t="s">
        <v>22</v>
      </c>
      <c r="U39" t="s">
        <v>22</v>
      </c>
      <c r="V39" t="s">
        <v>22</v>
      </c>
      <c r="W39" t="s">
        <v>22</v>
      </c>
      <c r="X39" t="s">
        <v>22</v>
      </c>
    </row>
    <row r="40" spans="1:24" x14ac:dyDescent="0.2">
      <c r="A40" s="1">
        <v>18</v>
      </c>
      <c r="B40" s="1" t="s">
        <v>46</v>
      </c>
      <c r="C40" s="1" t="s">
        <v>47</v>
      </c>
      <c r="D40" s="1" t="s">
        <v>17</v>
      </c>
      <c r="E40" s="7" t="s">
        <v>22</v>
      </c>
      <c r="F40" s="7" t="s">
        <v>22</v>
      </c>
      <c r="H40" s="7" t="s">
        <v>22</v>
      </c>
      <c r="I40" s="7" t="s">
        <v>22</v>
      </c>
      <c r="J40">
        <f>COUNTIF(E40:I40,"P")</f>
        <v>4</v>
      </c>
      <c r="K40">
        <f>ROUND(J40*10/4,0)</f>
        <v>10</v>
      </c>
      <c r="L40" t="s">
        <v>22</v>
      </c>
      <c r="M40" t="s">
        <v>22</v>
      </c>
      <c r="N40" t="s">
        <v>22</v>
      </c>
      <c r="O40" t="s">
        <v>22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  <c r="V40" t="s">
        <v>22</v>
      </c>
      <c r="W40" t="s">
        <v>22</v>
      </c>
      <c r="X40" t="s">
        <v>22</v>
      </c>
    </row>
    <row r="41" spans="1:24" x14ac:dyDescent="0.2">
      <c r="A41" s="1">
        <v>28</v>
      </c>
      <c r="B41" s="1" t="s">
        <v>189</v>
      </c>
      <c r="C41" s="1" t="s">
        <v>188</v>
      </c>
      <c r="D41" s="1" t="s">
        <v>198</v>
      </c>
      <c r="F41" s="7"/>
      <c r="H41" s="7"/>
      <c r="I41" s="7"/>
      <c r="L41" t="s">
        <v>22</v>
      </c>
      <c r="M41" t="s">
        <v>22</v>
      </c>
      <c r="N41" t="s">
        <v>22</v>
      </c>
      <c r="O41" t="s">
        <v>22</v>
      </c>
      <c r="P41" t="s">
        <v>22</v>
      </c>
      <c r="Q41" t="s">
        <v>22</v>
      </c>
      <c r="R41" t="s">
        <v>22</v>
      </c>
      <c r="S41" t="s">
        <v>192</v>
      </c>
      <c r="T41" t="s">
        <v>22</v>
      </c>
      <c r="U41" t="s">
        <v>22</v>
      </c>
      <c r="V41" t="s">
        <v>22</v>
      </c>
      <c r="W41" t="s">
        <v>22</v>
      </c>
      <c r="X41" t="s">
        <v>22</v>
      </c>
    </row>
    <row r="42" spans="1:24" x14ac:dyDescent="0.2">
      <c r="A42" s="1">
        <v>40</v>
      </c>
      <c r="D42" s="1"/>
      <c r="F42" s="7"/>
      <c r="H42" s="7"/>
      <c r="I42" s="7"/>
    </row>
    <row r="43" spans="1:24" x14ac:dyDescent="0.2">
      <c r="A43" s="1">
        <v>41</v>
      </c>
      <c r="D43" s="1"/>
      <c r="F43" s="7"/>
      <c r="H43" s="7"/>
      <c r="I43" s="7"/>
      <c r="V43" s="56"/>
    </row>
    <row r="44" spans="1:24" x14ac:dyDescent="0.2">
      <c r="D44" s="1" t="s">
        <v>191</v>
      </c>
      <c r="E44" s="1">
        <f>COUNTIF(E2:E28,"P")</f>
        <v>9</v>
      </c>
      <c r="F44" s="1">
        <f>COUNTIF(F2:F28,"P")</f>
        <v>7</v>
      </c>
      <c r="H44" s="1">
        <f>COUNTIF(H2:H28,"P")</f>
        <v>5</v>
      </c>
      <c r="I44" s="57">
        <f>COUNTIF(I2:I28,"P")</f>
        <v>4</v>
      </c>
      <c r="L44" s="1">
        <f>COUNTIF(L2:L31,"P")</f>
        <v>3</v>
      </c>
      <c r="M44" s="1">
        <f>COUNTIF(M2:M31,"P")</f>
        <v>3</v>
      </c>
      <c r="N44" s="1">
        <f>COUNTIF(N2:N32,"P")</f>
        <v>3</v>
      </c>
      <c r="O44" s="1">
        <f>COUNTIF(O2:O33,"P")</f>
        <v>3</v>
      </c>
      <c r="P44" s="1">
        <f>COUNTIF(P2:P38,"P")</f>
        <v>3</v>
      </c>
      <c r="Q44" s="1">
        <f>COUNTIF(Q2:Q38,"P")</f>
        <v>7</v>
      </c>
      <c r="R44" s="1">
        <f>COUNTIF(R2:R38,"P")</f>
        <v>6</v>
      </c>
      <c r="S44" s="1">
        <f>COUNTIF(S2:S41,"P")</f>
        <v>8</v>
      </c>
      <c r="T44" s="1">
        <f>COUNTIF(T2:T41,"P")</f>
        <v>6</v>
      </c>
      <c r="U44" s="1">
        <f>COUNTIF(U2:U41,"P")</f>
        <v>8</v>
      </c>
      <c r="V44" s="1">
        <f>COUNTIF(V2:V41,"P")</f>
        <v>9</v>
      </c>
      <c r="W44" s="1">
        <f>COUNTIF(W2:W41,"P")</f>
        <v>8</v>
      </c>
      <c r="X44" s="1">
        <f>COUNTIF(X2:X41,"P")</f>
        <v>7</v>
      </c>
    </row>
  </sheetData>
  <sortState ref="A2:X41">
    <sortCondition ref="X2:X41"/>
    <sortCondition ref="B2:B41"/>
  </sortState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2992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alumnos</vt:lpstr>
      <vt:lpstr>Asistencia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Microcine</cp:lastModifiedBy>
  <cp:revision>62</cp:revision>
  <dcterms:created xsi:type="dcterms:W3CDTF">2026-04-17T09:27:52Z</dcterms:created>
  <dcterms:modified xsi:type="dcterms:W3CDTF">2026-10-29T15:00:08Z</dcterms:modified>
  <dc:language>es-AR</dc:language>
</cp:coreProperties>
</file>